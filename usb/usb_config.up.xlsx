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ic Config" sheetId="1" state="visible" r:id="rId1"/>
    <sheet name="PHY Config" sheetId="2" state="visible" r:id="rId2"/>
    <sheet name="Device Config" sheetId="3" state="visible" r:id="rId3"/>
    <sheet name="Host Config" sheetId="4" state="visible" r:id="rId4"/>
    <sheet name="Hub Config" sheetId="5" state="visible" r:id="rId5"/>
    <sheet name="Advanced Confi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Mode of Operation</t>
        </is>
      </c>
      <c r="C2" s="3" t="inlineStr">
        <is>
          <t>DWC_USB3_MODE</t>
        </is>
      </c>
      <c r="D2" s="3" t="inlineStr">
        <is>
          <t>2</t>
        </is>
      </c>
      <c r="E2" s="3" t="inlineStr">
        <is>
          <t>Device (0); Host (1); Device and Host (DRD) (2); Hub (3)</t>
        </is>
      </c>
      <c r="F2" s="3">
        <f> ((&lt;DWC-USB30-DEV-SRC feature authorize&gt;==1)? 0 : ((&lt;DWC- USB30-HST-SRC feature authorize&gt;==1)? 1 : (&lt;DWC-USB30-HUB-SRC feature authorize&gt;==1)? 3 : 2))</f>
        <v/>
      </c>
      <c r="G2" s="3" t="inlineStr">
        <is>
          <t>Always</t>
        </is>
      </c>
      <c r="H2" s="3" t="inlineStr">
        <is>
          <t>选择控制器工作模式：0=设备, 1=主机, 2=DRD(双角色), 3=Hub。需要对应的USB 3.0许可证。DRD模式下可通过软件动态切换设备/主机角色。</t>
        </is>
      </c>
    </row>
    <row r="3">
      <c r="A3" s="2" t="n">
        <v>2</v>
      </c>
      <c r="B3" s="3" t="inlineStr">
        <is>
          <t>Enable USB 2.0-only mode</t>
        </is>
      </c>
      <c r="C3" s="3" t="inlineStr">
        <is>
          <t>DWC_USB3_EN_USB2_ONL</t>
        </is>
      </c>
      <c r="D3" s="3" t="inlineStr">
        <is>
          <t>0</t>
        </is>
      </c>
      <c r="E3" s="3" t="inlineStr">
        <is>
          <t>No (0); Y es (1)</t>
        </is>
      </c>
      <c r="F3" s="3" t="inlineStr">
        <is>
          <t>((&lt;DWC-USB30-DEV-SRC feature authorize&gt;==1 || &lt;DWC-USB30- HST -SRC feature authorize&gt; || DWC_USB3_MODE==3) ? 0 : 1)</t>
        </is>
      </c>
      <c r="G3" s="3" t="inlineStr">
        <is>
          <t>DWC_USB3_MODE == 0 || DWC_USB3_MODE == 1 || DWC_USB3_MODE == 2</t>
        </is>
      </c>
      <c r="H3" s="3" t="inlineStr">
        <is>
          <t>启用纯USB 2.0模式，去除SuperSpeed相关门电路和RAM需求。适合仅需USB 2.0但希望复用USB 3.0软件驱动的场景，可减小芯片面积且统一驱动开发。</t>
        </is>
      </c>
    </row>
    <row r="4">
      <c r="A4" s="2" t="n">
        <v>3</v>
      </c>
      <c r="B4" s="3" t="inlineStr">
        <is>
          <t>Y 238 Synopsys, Inc. SolvNet DesignWare.com3.20a February 2017Parameters SuperSpeed USB 3.0 Controller Databook Enable Isochronous Support</t>
        </is>
      </c>
      <c r="C4" s="3" t="inlineStr">
        <is>
          <t>DWC_USB3_EN_ISOC_SUPT</t>
        </is>
      </c>
      <c r="D4" s="3" t="inlineStr">
        <is>
          <t>1</t>
        </is>
      </c>
      <c r="E4" s="3" t="inlineStr">
        <is>
          <t>No (0); Y es (1)</t>
        </is>
      </c>
      <c r="F4" s="3" t="inlineStr">
        <is>
          <t>Ye s</t>
        </is>
      </c>
      <c r="G4" s="3" t="inlineStr">
        <is>
          <t>DWC_USB3_MODE == 0 || DWC_USB3_MODE == 1 || DWC_USB3_MODE == 2</t>
        </is>
      </c>
      <c r="H4" s="3" t="inlineStr">
        <is>
          <t>启用等时(isochronous)传输端点支持。主机模式下建议始终开启，因为标准xHCI主机要求支持该特性，关闭不会节省面积。</t>
        </is>
      </c>
    </row>
    <row r="5">
      <c r="A5" s="2" t="n">
        <v>4</v>
      </c>
      <c r="B5" s="3" t="inlineStr">
        <is>
          <t>Power Optimization Mode</t>
        </is>
      </c>
      <c r="C5" s="3" t="inlineStr">
        <is>
          <t>DWC_USB3_EN_PWROPT</t>
        </is>
      </c>
      <c r="D5" s="3" t="inlineStr">
        <is>
          <t>2</t>
        </is>
      </c>
      <c r="E5" s="3" t="inlineStr">
        <is>
          <t>No Power Optimization (0); Clock Gating Only (1); Clock Gating and Hibernatio n (Two Power Rails) (2)</t>
        </is>
      </c>
      <c r="F5" s="3" t="inlineStr">
        <is>
          <t>No Power Optimization</t>
        </is>
      </c>
      <c r="G5" s="3" t="inlineStr">
        <is>
          <t>DWC_USB3_MODE !=3 &amp;&amp; DWC_USB3_MBUS_TYPE !=4</t>
        </is>
      </c>
      <c r="H5" s="3" t="inlineStr">
        <is>
          <t>功耗优化模式选择。0=仅时钟门控(时钟关闭)，2=休眠模式(双电源轨，断电以降低漏电流)。休眠模式下仅U2PMU/U3PMU模块(~5K门)保持活动以检测唤醒条件。</t>
        </is>
      </c>
    </row>
    <row r="6">
      <c r="A6" s="2" t="n">
        <v>5</v>
      </c>
      <c r="B6" s="3" t="n"/>
      <c r="C6" s="3" t="inlineStr">
        <is>
          <t>DWC_USB3_EN_OTG</t>
        </is>
      </c>
      <c r="D6" s="3" t="inlineStr">
        <is>
          <t>2</t>
        </is>
      </c>
      <c r="E6" s="3" t="inlineStr">
        <is>
          <t>No (0); OTG2.0 (1); OTG3.0 (and OTG 2.0) (2)</t>
        </is>
      </c>
      <c r="F6" s="3" t="inlineStr">
        <is>
          <t>No</t>
        </is>
      </c>
      <c r="G6" s="3" t="inlineStr">
        <is>
          <t>DWC_USB3_MODE ==2</t>
        </is>
      </c>
      <c r="H6" s="3" t="inlineStr">
        <is>
          <t>OTG能力配置。0=无OTG(靠软件设定角色)，1=OTG 2.0(HNP/SRP)，2=OTG 3.0(含HNP/SRP/RSP)。OTG 3.0是OTG 2.0的超集，需相应附加许可证。</t>
        </is>
      </c>
    </row>
    <row r="7">
      <c r="A7" s="2" t="n">
        <v>6</v>
      </c>
      <c r="B7" s="3" t="inlineStr">
        <is>
          <t>Enable ADP Capability</t>
        </is>
      </c>
      <c r="C7" s="3" t="inlineStr">
        <is>
          <t>DWC_USB3_EN_ADP</t>
        </is>
      </c>
      <c r="D7" s="3" t="inlineStr">
        <is>
          <t>0</t>
        </is>
      </c>
      <c r="E7" s="3" t="inlineStr">
        <is>
          <t>External ADP (0); Internal ADP (1)</t>
        </is>
      </c>
      <c r="F7" s="3">
        <f> 0</f>
        <v/>
      </c>
      <c r="G7" s="3" t="inlineStr">
        <is>
          <t>DWC_USB3_EN_OTG !=0</t>
        </is>
      </c>
      <c r="H7" s="3" t="inlineStr">
        <is>
          <t>启用内部ADP(附件检测协议)能力。当同时启用ADP和休眠模式时，核心休眠期间ADP功能不可用。</t>
        </is>
      </c>
    </row>
    <row r="8">
      <c r="A8" s="2" t="n">
        <v>7</v>
      </c>
      <c r="B8" s="3" t="n"/>
      <c r="C8" s="3" t="inlineStr">
        <is>
          <t>DWC_USB3_EN_BC</t>
        </is>
      </c>
      <c r="D8" s="3" t="inlineStr">
        <is>
          <t>0</t>
        </is>
      </c>
      <c r="E8" s="3" t="inlineStr">
        <is>
          <t>No (0); Y es (1)</t>
        </is>
      </c>
      <c r="F8" s="3">
        <f> 0</f>
        <v/>
      </c>
      <c r="G8" s="3" t="inlineStr">
        <is>
          <t>DWC_USB3_MODE !=3 &amp;&amp; DWC_USB3_MBUS_TYPE != 4</t>
        </is>
      </c>
      <c r="H8" s="3" t="inlineStr">
        <is>
          <t>启用电池充电(ACA)能力。与OTG同时启用时，utmiotg_iddig引脚可从ACA引脚派生。HSIC接口不支持电池充电器。</t>
        </is>
      </c>
    </row>
    <row r="9">
      <c r="A9" s="2" t="n">
        <v>8</v>
      </c>
      <c r="B9" s="3" t="inlineStr">
        <is>
          <t>Master Bus (DMA Bus) Interface Type</t>
        </is>
      </c>
      <c r="C9" s="3" t="inlineStr">
        <is>
          <t>DWC_USB3_MBUS_TYPE</t>
        </is>
      </c>
      <c r="D9" s="3" t="inlineStr">
        <is>
          <t>1</t>
        </is>
      </c>
      <c r="E9" s="3" t="inlineStr">
        <is>
          <t>AHB (0); AXI (1); Reserved2 (2); Native (3); Reserved (4)</t>
        </is>
      </c>
      <c r="F9" s="3" t="inlineStr">
        <is>
          <t>AHB</t>
        </is>
      </c>
      <c r="G9" s="3" t="inlineStr">
        <is>
          <t>DWC_USB3_MODE !=3</t>
        </is>
      </c>
      <c r="H9" s="3" t="inlineStr">
        <is>
          <t>选择SoC主总线接口类型，用于DMA传输。0=AHB, 1=AXI, 2=Native。AXI全双工总线比AHB提供更高带宽，对USB 3.0性能至关重要。</t>
        </is>
      </c>
    </row>
    <row r="10">
      <c r="A10" s="2" t="n">
        <v>9</v>
      </c>
      <c r="B10" s="3" t="n"/>
      <c r="C10" s="3" t="inlineStr">
        <is>
          <t>DWC_USB3_SBUS_TYPE</t>
        </is>
      </c>
      <c r="D10" s="3" t="inlineStr">
        <is>
          <t>1</t>
        </is>
      </c>
      <c r="E10" s="3" t="inlineStr">
        <is>
          <t>AHB (0); AXI (1); Reserved2 (2); Native (3)</t>
        </is>
      </c>
      <c r="F10" s="3" t="inlineStr">
        <is>
          <t>AHB</t>
        </is>
      </c>
      <c r="G10" s="3" t="inlineStr">
        <is>
          <t>DWC_USB3_MODE !=3 &amp;&amp; DWC_USB3_MBUS_TYPE!=4</t>
        </is>
      </c>
      <c r="H10" s="3" t="inlineStr">
        <is>
          <t>选择SoC从总线接口类型，用于寄存器配置访问。0=AHB, 1=AXI, 2=Native, 3=Native+OPB。</t>
        </is>
      </c>
    </row>
    <row r="11">
      <c r="A11" s="2" t="n">
        <v>10</v>
      </c>
      <c r="B11" s="3" t="inlineStr">
        <is>
          <t>Master Bus (DMA Bus) Data Bus Width</t>
        </is>
      </c>
      <c r="C11" s="3" t="inlineStr">
        <is>
          <t>DWC_USB3_MDWIDTH</t>
        </is>
      </c>
      <c r="D11" s="3" t="inlineStr">
        <is>
          <t>32</t>
        </is>
      </c>
      <c r="E11" s="3" t="inlineStr">
        <is>
          <t>32 bits (32); 33 bits (33); 64 bits (64); 128 bits (128)</t>
        </is>
      </c>
      <c r="F11" s="3" t="inlineStr">
        <is>
          <t>((DWC_USB3_MODE==3) ? 33 : (DWC_USB3_MBUS_TYPE==4)? 32 : (DWC_USB3_EN_USB2_ONL Y==1)? 64: 64)</t>
        </is>
      </c>
      <c r="G11" s="3" t="inlineStr">
        <is>
          <t>DWC_USB3_MODE !=3 &amp;&amp; DWC_USB3_MBUS_TYPE!=4</t>
        </is>
      </c>
      <c r="H11" s="3" t="inlineStr">
        <is>
          <t>主总线数据位宽(用于DMA)。USB 3.0操作建议64位或以上。33位仅用于Hub配置。</t>
        </is>
      </c>
    </row>
    <row r="12">
      <c r="A12" s="2" t="n">
        <v>11</v>
      </c>
      <c r="B12" s="3" t="n"/>
      <c r="C12" s="3" t="inlineStr">
        <is>
          <t>DWC_USB3_SDWIDTH</t>
        </is>
      </c>
      <c r="D12" s="3" t="inlineStr">
        <is>
          <t>32</t>
        </is>
      </c>
      <c r="E12" s="3" t="inlineStr">
        <is>
          <t>32 bits (32); 64 bits (64); 128 bits (128)</t>
        </is>
      </c>
      <c r="F12" s="3" t="inlineStr">
        <is>
          <t>32 bits</t>
        </is>
      </c>
      <c r="G12" s="3" t="inlineStr">
        <is>
          <t>DWC_USB3_MODE !=3 &amp;&amp; DWC_USB3_MBUS_TYPE!=4</t>
        </is>
      </c>
      <c r="H12" s="3" t="inlineStr">
        <is>
          <t>从总线数据位宽(用于寄存器访问)。</t>
        </is>
      </c>
    </row>
    <row r="13">
      <c r="A13" s="2" t="n">
        <v>12</v>
      </c>
      <c r="B13" s="3" t="inlineStr">
        <is>
          <t>Master/Slave Address Bus Width</t>
        </is>
      </c>
      <c r="C13" s="3" t="inlineStr">
        <is>
          <t>DWC_USB3_AWIDTH</t>
        </is>
      </c>
      <c r="D13" s="3" t="inlineStr">
        <is>
          <t>64</t>
        </is>
      </c>
      <c r="E13" s="3" t="inlineStr">
        <is>
          <t>32 bits (32); 64 bits (64)</t>
        </is>
      </c>
      <c r="F13" s="3" t="inlineStr">
        <is>
          <t>32 bits</t>
        </is>
      </c>
      <c r="G13" s="3" t="inlineStr">
        <is>
          <t>DWC_USB3_MODE !=3</t>
        </is>
      </c>
      <c r="H13" s="3" t="inlineStr">
        <is>
          <t>主/从接口地址总线宽度。32位或64位，需同时满足DMA主接口和从接口需求。从接口仅使用地址位[19:0]。</t>
        </is>
      </c>
    </row>
    <row r="14">
      <c r="A14" s="2" t="n">
        <v>13</v>
      </c>
      <c r="B14" s="3" t="inlineStr">
        <is>
          <t>Master ID Port Width</t>
        </is>
      </c>
      <c r="C14" s="3" t="inlineStr">
        <is>
          <t>DWC_USB3_IDWIDTH</t>
        </is>
      </c>
      <c r="D14" s="3" t="inlineStr">
        <is>
          <t>8</t>
        </is>
      </c>
      <c r="E14" s="3" t="inlineStr">
        <is>
          <t>4, 5, 6, 7, 8</t>
        </is>
      </c>
      <c r="F14" s="3" t="inlineStr">
        <is>
          <t>4</t>
        </is>
      </c>
      <c r="G14" s="3" t="inlineStr">
        <is>
          <t>DWC_USB3_MBUS_TYPE!=0 &amp;&amp; DWC_USB3_MODE !=3 &amp;&amp; DWC_USB3_MBUS_TYPE!=4</t>
        </is>
      </c>
      <c r="H14" s="3" t="inlineStr">
        <is>
          <t>主总线接口ID端口宽度。USB 3.0最大支持16个未完成传输，ID宽度超过4位不必要且会增加寄存器面积。</t>
        </is>
      </c>
    </row>
    <row r="15">
      <c r="A15" s="2" t="n">
        <v>14</v>
      </c>
      <c r="B15" s="3" t="n"/>
      <c r="C15" s="3" t="inlineStr">
        <is>
          <t>DWC_USB3_SIDWIDTH</t>
        </is>
      </c>
      <c r="D15" s="3" t="inlineStr">
        <is>
          <t>10</t>
        </is>
      </c>
      <c r="E15" s="3" t="inlineStr">
        <is>
          <t>1, ..., 32</t>
        </is>
      </c>
      <c r="F15" s="3" t="inlineStr">
        <is>
          <t>4</t>
        </is>
      </c>
      <c r="G15" s="3" t="inlineStr">
        <is>
          <t>DWC_USB3_SBUS_TYPE!=0 &amp;&amp; DWC_USB3_MODE !=3 &amp;&amp; DWC_USB3_MBUS_TYPE!=4</t>
        </is>
      </c>
      <c r="H15" s="3" t="inlineStr">
        <is>
          <t>从总线接口ID端口宽度。</t>
        </is>
      </c>
    </row>
    <row r="16">
      <c r="A16" s="2" t="n">
        <v>15</v>
      </c>
      <c r="B16" s="3" t="inlineStr">
        <is>
          <t>Number of RAMs</t>
        </is>
      </c>
      <c r="C16" s="3" t="inlineStr">
        <is>
          <t>DWC_USB3_NUM_RAMS</t>
        </is>
      </c>
      <c r="D16" s="3" t="inlineStr">
        <is>
          <t>3</t>
        </is>
      </c>
      <c r="E16" s="3" t="inlineStr">
        <is>
          <t>1 (1); 2 (2); 3 (3)</t>
        </is>
      </c>
      <c r="F16" s="3" t="inlineStr">
        <is>
          <t>(DWC_USB3_EN_USB2_ONLY==1 ? 1: DWC_USB3_MODE==3 ? 2 : DWC_USB3_MBUS_TYPE==4 ? 2 : DWC_USB3_MODE!=0 ? 3 : 3)</t>
        </is>
      </c>
      <c r="G16" s="3" t="inlineStr">
        <is>
          <t>DWC_USB3_MODE !=3 &amp;&amp; DWC_USB3_MBUS_TYPE!=4 &amp;&amp; DWC_USB3_EN_USB2_ONL Y != 1</t>
        </is>
      </c>
      <c r="H16" s="3" t="inlineStr">
        <is>
          <t>RAM数量选择。3-RAM配置：RAM0(寄存器+描述符缓存), RAM1(Tx预取), RAM2(Rx缓冲)；2-RAM配置合并RAM0和RAM2；USB 2.0仅需1个RAM；Hub需要2个双端口RAM。</t>
        </is>
      </c>
    </row>
    <row r="17">
      <c r="A17" s="2" t="n">
        <v>16</v>
      </c>
      <c r="B17" s="3" t="n"/>
      <c r="C17" s="3" t="inlineStr">
        <is>
          <t>DWC_USB3_SPRAM_TYP</t>
        </is>
      </c>
      <c r="D17" s="3" t="inlineStr">
        <is>
          <t>0</t>
        </is>
      </c>
      <c r="E17" s="3" t="inlineStr">
        <is>
          <t>2-Port RAM (0); Single-Port RAM (SPRAM) (1)</t>
        </is>
      </c>
      <c r="F17" s="3" t="inlineStr">
        <is>
          <t>((DWC_USB3_MODE==3)? 0 : (DWC_USB3_MBUS_TYPE==4)? 0 : (DWC_USB3_MODE!=0)? 0 : 0)</t>
        </is>
      </c>
      <c r="G17" s="3" t="inlineStr">
        <is>
          <t>DWC_USB3_MODE !=3 &amp;&amp; DWC_USB3_MBUS_TYPE!=4</t>
        </is>
      </c>
      <c r="H17" s="3" t="inlineStr">
        <is>
          <t>单端口RAM类型选择。</t>
        </is>
      </c>
    </row>
    <row r="18">
      <c r="A18" s="2" t="n">
        <v>17</v>
      </c>
      <c r="B18" s="3" t="inlineStr">
        <is>
          <t>Global User ID (GUID) Register's Power-On Initialization Valu e (0x0-ffffffff)</t>
        </is>
      </c>
      <c r="C18" s="3" t="inlineStr">
        <is>
          <t>DWC_USB3_USERID</t>
        </is>
      </c>
      <c r="D18" s="3" t="inlineStr">
        <is>
          <t>32'h12345678</t>
        </is>
      </c>
      <c r="E18" s="3" t="inlineStr">
        <is>
          <t>0x0, ..., 0xffffffff</t>
        </is>
      </c>
      <c r="F18" s="3" t="inlineStr">
        <is>
          <t>0x12345678</t>
        </is>
      </c>
      <c r="G18" s="3" t="inlineStr">
        <is>
          <t>DWC_USB3_MODE !=3 &amp;&amp; DWC_USB3_MBUS_TYPE!=4</t>
        </is>
      </c>
      <c r="H18" s="3" t="inlineStr">
        <is>
          <t>全局用户ID(GUID)寄存器上电初始值，可作暂存或标识寄存器使用。上电后软件可更改此值。</t>
        </is>
      </c>
    </row>
    <row r="19">
      <c r="A19" s="2" t="n">
        <v>18</v>
      </c>
      <c r="B19" s="3" t="n"/>
      <c r="C19" s="3" t="inlineStr">
        <is>
          <t>DWC_USB3_GUCTL</t>
        </is>
      </c>
      <c r="D19" s="3" t="inlineStr">
        <is>
          <t>32'h5000010</t>
        </is>
      </c>
      <c r="E19" s="3" t="inlineStr">
        <is>
          <t>0x0, ..., 0xffffffff</t>
        </is>
      </c>
      <c r="F19" s="3" t="inlineStr">
        <is>
          <t>(DWC_USB3_MODE==0)? 0x10 : 0x02000010</t>
        </is>
      </c>
      <c r="G19" s="3" t="inlineStr">
        <is>
          <t>DWC_USB3_MODE !=3 &amp;&amp; DWC_USB3_MBUS_TYPE!=4</t>
        </is>
      </c>
      <c r="H19" s="3" t="inlineStr">
        <is>
          <t>全局用户控制寄存器(GUCTL)上电初始值。</t>
        </is>
      </c>
    </row>
    <row r="20">
      <c r="A20" s="2" t="n">
        <v>19</v>
      </c>
      <c r="B20" s="3" t="inlineStr">
        <is>
          <t>Global User Control 1 (GUCTL1) Register's Power-On Initialization Value (0x0-0004018a)</t>
        </is>
      </c>
      <c r="C20" s="3" t="inlineStr">
        <is>
          <t>DWC_USB3_GUCTL1</t>
        </is>
      </c>
      <c r="D20" s="3" t="inlineStr">
        <is>
          <t>32'h4198a</t>
        </is>
      </c>
      <c r="E20" s="3" t="inlineStr">
        <is>
          <t>0x0, ..., 0xffffffff</t>
        </is>
      </c>
      <c r="F20" s="3">
        <f> 0x0004018a</f>
        <v/>
      </c>
      <c r="G20" s="3" t="inlineStr">
        <is>
          <t>DWC_USB3_MODE !=3 &amp;&amp; DWC_USB3_MBUS_TYPE!=4</t>
        </is>
      </c>
      <c r="H20" s="3" t="inlineStr">
        <is>
          <t>全局用户控制寄存器1(GUCTL1)上电初始值，包含设备L1退出使能和LSP Tail更新锁定位。使用标准驱动(如微软xHCI驱动)需在综合前按系统需求初始化。</t>
        </is>
      </c>
    </row>
    <row r="21">
      <c r="A21" s="2" t="n">
        <v>20</v>
      </c>
      <c r="B21" s="3" t="n"/>
      <c r="C21" s="3" t="inlineStr">
        <is>
          <t>DWC_USB3_GUCTL2</t>
        </is>
      </c>
      <c r="D21" s="3" t="inlineStr">
        <is>
          <t>32'h40d</t>
        </is>
      </c>
      <c r="E21" s="3" t="inlineStr">
        <is>
          <t>0x0, ..., 0x7fff</t>
        </is>
      </c>
      <c r="F21" s="3">
        <f> 0x0000040D</f>
        <v/>
      </c>
      <c r="G21" s="3" t="inlineStr">
        <is>
          <t>DWC_USB3_MODE !=3 &amp;&amp; DWC_USB3_MBUS_TYPE!=4</t>
        </is>
      </c>
      <c r="H21" s="3" t="inlineStr">
        <is>
          <t>全局用户控制寄存器2(GUCTL2)上电初始值。</t>
        </is>
      </c>
    </row>
    <row r="22">
      <c r="A22" s="2" t="n">
        <v>21</v>
      </c>
      <c r="B22" s="3" t="inlineStr">
        <is>
          <t>Global Frame Length Adjustment (GFLADJ) Register's Power-On Initialization Value (0x0-00000000)</t>
        </is>
      </c>
      <c r="C22" s="3" t="inlineStr">
        <is>
          <t>DWC_USB3_GFLADJ</t>
        </is>
      </c>
      <c r="D22" s="3" t="inlineStr">
        <is>
          <t>32'h0</t>
        </is>
      </c>
      <c r="E22" s="3" t="inlineStr">
        <is>
          <t>0x0, ..., 0xffffffff</t>
        </is>
      </c>
      <c r="F22" s="3">
        <f> 0x00000000</f>
        <v/>
      </c>
      <c r="G22" s="3" t="inlineStr">
        <is>
          <t>DWC_USB3_MODE !=3 &amp;&amp; DWC_USB3_MODE != 0 &amp;&amp; DWC_USB3_MBUS_TYPE!=4</t>
        </is>
      </c>
      <c r="H22" s="3" t="inlineStr">
        <is>
          <t>全局帧长度调整寄存器(GFLADJ)上电初始值，用于编程主机帧长度调整选项。</t>
        </is>
      </c>
    </row>
    <row r="23">
      <c r="A23" s="2" t="n">
        <v>22</v>
      </c>
      <c r="B23" s="3" t="n"/>
      <c r="C23" s="3" t="inlineStr">
        <is>
          <t>DWC_USB3_MDBUS_ACCESS_GT21</t>
        </is>
      </c>
      <c r="D23" s="3" t="inlineStr">
        <is>
          <t>0</t>
        </is>
      </c>
      <c r="E23" s="3" t="inlineStr">
        <is>
          <t>No (0); Y es (1)</t>
        </is>
      </c>
      <c r="F23" s="3" t="inlineStr">
        <is>
          <t>No</t>
        </is>
      </c>
      <c r="G23" s="3" t="inlineStr">
        <is>
          <t>DWC_USB3_MODE == 0 || DWC_USB3_MODE == 1 || DWC_USB3_MODE == 2</t>
        </is>
      </c>
      <c r="H23" s="3" t="inlineStr">
        <is>
          <t>系统延迟指示。当DMA总线延迟+访问时间超过USB MaxPacket传输时间(SS为2.1us, HS为10us)时设1，此时推荐增大FIFO(如SS突发端点推荐5包FIFO而非3包)。</t>
        </is>
      </c>
    </row>
    <row r="24">
      <c r="A24" s="2" t="n">
        <v>23</v>
      </c>
      <c r="B24" s="3" t="inlineStr">
        <is>
          <t>Global Transmit Threshold Configuration Register (GTXTHRCFG) Power-On Initialization Valu e (0x0-ffffffff)</t>
        </is>
      </c>
      <c r="C24" s="3" t="inlineStr">
        <is>
          <t>DWC_USB3_GTXTHRCFG_INIT</t>
        </is>
      </c>
      <c r="D24" s="3" t="inlineStr">
        <is>
          <t>32'h0</t>
        </is>
      </c>
      <c r="E24" s="3" t="inlineStr">
        <is>
          <t>0x0, ..., 0xffffffff</t>
        </is>
      </c>
      <c r="F24" s="3" t="inlineStr">
        <is>
          <t>((DWC_USB3_MDBUS_ACCESS_GT21 == 0) ? 0x0 : 0x24080000)</t>
        </is>
      </c>
      <c r="G24" s="3" t="inlineStr">
        <is>
          <t>(DWC_USB3_MODE == 0 || DWC_USB3_MODE == 1 || DWC_USB3_MODE == 2) &amp;&amp; DWC_USB3_MBUS_TYPE!=4</t>
        </is>
      </c>
      <c r="H24" s="3" t="inlineStr">
        <is>
          <t>全局发送阈值配置寄存器(GTXTHRCFG)上电初始值，包含阈值使能位和计数字段。需按系统需求预先配置以启用数据包阈值功能。</t>
        </is>
      </c>
    </row>
    <row r="25">
      <c r="A25" s="2" t="n">
        <v>24</v>
      </c>
      <c r="B25" s="3" t="n"/>
      <c r="C25" s="3" t="inlineStr">
        <is>
          <t>DWC_USB3_GRXTHRCFG_INIT</t>
        </is>
      </c>
      <c r="D25" s="3" t="inlineStr">
        <is>
          <t>32'h0</t>
        </is>
      </c>
      <c r="E25" s="3" t="inlineStr">
        <is>
          <t>0x0, ..., 0xffffffff</t>
        </is>
      </c>
      <c r="F25" s="3" t="inlineStr">
        <is>
          <t>((DWC_USB3_MDBUS_ACCESS_GT21 == 0) ? 0x0 : 0x24400000)</t>
        </is>
      </c>
      <c r="G25" s="3" t="inlineStr">
        <is>
          <t>(DWC_USB3_MODE == 0 || DWC_USB3_MODE == 1 || DWC_USB3_MODE == 2) &amp;&amp; DWC_USB3_MBUS_TYPE!=4</t>
        </is>
      </c>
      <c r="H25" s="3" t="inlineStr">
        <is>
          <t>全局接收阈值配置寄存器(GRXTHRCFG)上电初始值。</t>
        </is>
      </c>
    </row>
    <row r="26">
      <c r="A26" s="2" t="n">
        <v>25</v>
      </c>
      <c r="B26" s="3" t="n"/>
      <c r="C26" s="3" t="inlineStr">
        <is>
          <t>DWC_USB3_GCTL_INIT</t>
        </is>
      </c>
      <c r="D26" s="3" t="inlineStr">
        <is>
          <t>32'h192004</t>
        </is>
      </c>
      <c r="E26" s="3" t="inlineStr">
        <is>
          <t>0x0, ..., 0xffffffff</t>
        </is>
      </c>
      <c r="F26" s="3" t="inlineStr">
        <is>
          <t>(DWC_USB3_MODE==0 ? 0x30c12004 : DWC_USB3_MODE==1 ? 0x30c01004 : DWC_USB3_MODE==2 ? ((DWC_USB3_EN_OTG_SS==1 || DWC_USB3_EN_OTG == 1) ? 0x30c13004 : 0x30c12004) : 0x30c12004)</t>
        </is>
      </c>
      <c r="G26" s="3" t="inlineStr">
        <is>
          <t>DWC_USB3_MODE != 3 &amp;&amp; DWC_USB3_MBUS_TYPE!=4</t>
        </is>
      </c>
      <c r="H26" s="3" t="inlineStr">
        <is>
          <t>全局控制寄存器(GCTL)上电初始值。</t>
        </is>
      </c>
    </row>
    <row r="27">
      <c r="A27" s="2" t="n">
        <v>26</v>
      </c>
      <c r="B27" s="3" t="inlineStr">
        <is>
          <t>Enable Automotive ECC Generation and Checking for RAMs</t>
        </is>
      </c>
      <c r="C27" s="3" t="inlineStr">
        <is>
          <t>DWC_USB3_EN_ECC</t>
        </is>
      </c>
      <c r="D27" s="3" t="inlineStr">
        <is>
          <t>0</t>
        </is>
      </c>
      <c r="E27" s="3" t="inlineStr">
        <is>
          <t>No (0); Y es (1)</t>
        </is>
      </c>
      <c r="F27" s="3">
        <f> 0</f>
        <v/>
      </c>
      <c r="G27" s="3" t="inlineStr">
        <is>
          <t>DWC_USB3_MODE == 0 || DWC_USB3_MODE == 1 || DWC_USB3_MODE == 2</t>
        </is>
      </c>
      <c r="H27" s="3" t="inlineStr">
        <is>
          <t>启用汽车级ECC功能，生成ECC、纠正单比特错误并报告多比特错误。单比特纠错对软件透明，多比特错误使控制器进入安全停止状态，需复位重新枚举。需要汽车级USB 3.0许可证。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Enable Pipelining on the Pipe Interface</t>
        </is>
      </c>
      <c r="C2" s="3" t="inlineStr">
        <is>
          <t>DWC_USB3_SSPHY_INTERFACE_NUM_PIPE</t>
        </is>
      </c>
      <c r="D2" s="3" t="inlineStr">
        <is>
          <t>0</t>
        </is>
      </c>
      <c r="E2" s="3" t="inlineStr">
        <is>
          <t>No Additional Pipeline (0); 1 stage of Additional Pipeline (1); 2 stages of Additional Pipeline (2)</t>
        </is>
      </c>
      <c r="F2" s="3" t="inlineStr">
        <is>
          <t>No Additional Pipeline</t>
        </is>
      </c>
      <c r="G2" s="3" t="inlineStr">
        <is>
          <t>DWC_USB3_SSPHY_INTERFACE ==1</t>
        </is>
      </c>
      <c r="H2" s="3" t="inlineStr">
        <is>
          <t>PIPE接口附加流水线级数。通常不需要，因为DWC_usb3内核已寄存PIPE输入输出。仅当SS PHY离控制器远、时序收敛困难时使用(不超过1级流水线即可)。</t>
        </is>
      </c>
    </row>
    <row r="3">
      <c r="A3" s="2" t="n">
        <v>2</v>
      </c>
      <c r="B3" s="3" t="n"/>
      <c r="C3" s="3" t="inlineStr">
        <is>
          <t>DWC_USB3_HSPHY_INTERFACE</t>
        </is>
      </c>
      <c r="D3" s="3" t="inlineStr">
        <is>
          <t>3</t>
        </is>
      </c>
      <c r="E3" s="3" t="inlineStr">
        <is>
          <t>Reserved (0); UTMI+ (1); ULPI (2); UTMI+ and ULPI (3)</t>
        </is>
      </c>
      <c r="F3" s="3" t="inlineStr">
        <is>
          <t>(DWC_USB3_MODE==3)? 0 : 1</t>
        </is>
      </c>
      <c r="G3" s="3" t="inlineStr">
        <is>
          <t>DWC_USB3_MODE !=3</t>
        </is>
      </c>
      <c r="H3" s="3" t="inlineStr">
        <is>
          <t>高速PHY接口选择。0=UTMI+只, 1=ULPI只, 2=保留, 3=UTMI+和ULPI都支持。选择UTMI+和ULPI可在片上PHY故障时改接ULPI片外PHY作为备份，但增加~1.5K门。</t>
        </is>
      </c>
    </row>
    <row r="4">
      <c r="A4" s="2" t="n">
        <v>3</v>
      </c>
      <c r="B4" s="3" t="inlineStr">
        <is>
          <t>Enable HSIC Support for USB 2.0 Ports</t>
        </is>
      </c>
      <c r="C4" s="3" t="inlineStr">
        <is>
          <t>DWC_USB3_ENABLE_HSIC</t>
        </is>
      </c>
      <c r="D4" s="3" t="inlineStr">
        <is>
          <t>0</t>
        </is>
      </c>
      <c r="E4" s="3" t="inlineStr">
        <is>
          <t>No (0); Y es (1)</t>
        </is>
      </c>
      <c r="F4" s="3">
        <f> 0</f>
        <v/>
      </c>
      <c r="G4" s="3" t="inlineStr">
        <is>
          <t>DWC_USB3_HSPHY_INTERFACE != 0 &amp;&amp; DWC_USB3_MBUS_TYPE!=4</t>
        </is>
      </c>
      <c r="H4" s="3" t="inlineStr">
        <is>
          <t>启用高速片间(HSIC)接口支持。HSIC是USB 2.0的芯片间接口标准，通过寄存器或输入端口选择HSIC或正常UTMI/ULPI模式。需HSIC附加许可证。</t>
        </is>
      </c>
    </row>
    <row r="5">
      <c r="A5" s="2" t="n">
        <v>4</v>
      </c>
      <c r="B5" s="3" t="n"/>
      <c r="C5" s="3" t="inlineStr">
        <is>
          <t>DWC_USB3_FAST_TAT_EN</t>
        </is>
      </c>
      <c r="D5" s="3" t="inlineStr">
        <is>
          <t>0</t>
        </is>
      </c>
      <c r="E5" s="3" t="inlineStr">
        <is>
          <t>No (0); Y es (1)</t>
        </is>
      </c>
      <c r="F5" s="3" t="inlineStr">
        <is>
          <t>No</t>
        </is>
      </c>
      <c r="G5" s="3" t="inlineStr">
        <is>
          <t>DWC_USB3_HSPHY_INTERFACE == 1 || DWC_USB3_HSPHY_INTERFACE == 3</t>
        </is>
      </c>
      <c r="H5" s="3" t="inlineStr">
        <is>
          <t>启用UTMI 16位快速周转逻辑。仅在需要16位UTMI支持时使能。可优化/消除设备MAC/PTL路径中的部分寄存器，实现更快的周转延迟。多端口模式下要求所有USB 2.0端口时钟同步。</t>
        </is>
      </c>
    </row>
    <row r="6">
      <c r="A6" s="2" t="n">
        <v>5</v>
      </c>
      <c r="B6" s="3" t="n"/>
      <c r="C6" s="3" t="inlineStr">
        <is>
          <t>DWC_USB3_VENDOR_CTL_INTERFACE</t>
        </is>
      </c>
      <c r="D6" s="3" t="inlineStr">
        <is>
          <t>0</t>
        </is>
      </c>
      <c r="E6" s="3" t="inlineStr">
        <is>
          <t>No (0); Y es (1)</t>
        </is>
      </c>
      <c r="F6" s="3" t="inlineStr">
        <is>
          <t>No</t>
        </is>
      </c>
      <c r="G6" s="3" t="inlineStr">
        <is>
          <t>(DWC_USB3_HSPHY_INTERFACE==1 || DWC_USB3_HSPHY_INTERFACE == 3) &amp;&amp; DWC_USB3_MODE !=3 &amp;&amp; DWC_USB3_MBUS_TYPE!=4</t>
        </is>
      </c>
      <c r="H6" s="3" t="inlineStr">
        <is>
          <t>启用UTMI PHY供应商控制接口。对于ULPI PHY，由于无额外端口，供应商控制始终使能。</t>
        </is>
      </c>
    </row>
    <row r="7">
      <c r="A7" s="2" t="n">
        <v>6</v>
      </c>
      <c r="B7" s="3" t="n"/>
      <c r="C7" s="3" t="inlineStr">
        <is>
          <t>DWC_USB3_GUSB2PHYCFG_INIT</t>
        </is>
      </c>
      <c r="D7" s="3" t="inlineStr">
        <is>
          <t>32'h40102400</t>
        </is>
      </c>
      <c r="E7" s="3" t="inlineStr">
        <is>
          <t>0x0, ..., 0xffffffff</t>
        </is>
      </c>
      <c r="F7" s="3" t="inlineStr">
        <is>
          <t>(((DWC_USB3_FREECLK_USB2_EXIST == 0) || (DWC_USB3_MODE == 0)) ? 0x00102400 : 0x40102400)</t>
        </is>
      </c>
      <c r="G7" s="3" t="inlineStr">
        <is>
          <t>(DWC_USB3_HSPHY_INTERFACE!=0 || DWC_USB3_FSPHY_INTERFACE!=0) &amp;&amp; DWC_USB3_MBUS_TYPE!=4</t>
        </is>
      </c>
      <c r="H7" s="3" t="inlineStr">
        <is>
          <t>全局USB 2.0 PHY配置寄存器(GUSB2PHYCFG)上电初始值。</t>
        </is>
      </c>
    </row>
    <row r="8">
      <c r="A8" s="2" t="n">
        <v>7</v>
      </c>
      <c r="B8" s="3" t="n"/>
      <c r="C8" s="3" t="inlineStr">
        <is>
          <t>DWC_USB3_GUSB3PIPECTL_INIT</t>
        </is>
      </c>
      <c r="D8" s="3" t="inlineStr">
        <is>
          <t>32'h1080002</t>
        </is>
      </c>
      <c r="E8" s="3" t="inlineStr">
        <is>
          <t>0x0, ..., 0xffffffff</t>
        </is>
      </c>
      <c r="F8" s="3" t="inlineStr">
        <is>
          <t>0x10c0002</t>
        </is>
      </c>
      <c r="G8" s="3" t="inlineStr">
        <is>
          <t>(DWC_USB3_SSPHY_INTERFACE==1) &amp;&amp; DWC_USB3_MBUS_TYPE!=4</t>
        </is>
      </c>
      <c r="H8" s="3" t="inlineStr">
        <is>
          <t>全局USB 3.0 PIPE控制寄存器(GUSB3PIPECTL)上电初始值。</t>
        </is>
      </c>
    </row>
    <row r="9">
      <c r="A9" s="2" t="n">
        <v>8</v>
      </c>
      <c r="B9" s="3" t="inlineStr">
        <is>
          <t>pipe3_RxTermination signal hardware reset value</t>
        </is>
      </c>
      <c r="C9" s="3" t="inlineStr">
        <is>
          <t>DWC_USB3_PIPE_RXTERM_RESET_VAL</t>
        </is>
      </c>
      <c r="D9" s="3" t="inlineStr">
        <is>
          <t>0</t>
        </is>
      </c>
      <c r="E9" s="3" t="inlineStr">
        <is>
          <t>0 (0); 1 (1)</t>
        </is>
      </c>
      <c r="F9" s="3" t="inlineStr">
        <is>
          <t>0</t>
        </is>
      </c>
      <c r="G9" s="3" t="inlineStr">
        <is>
          <t>DWC_USB3_SSPHY_INTERFACE==1</t>
        </is>
      </c>
      <c r="H9" s="3" t="inlineStr">
        <is>
          <t>硬件复位期间pipe3_RxTermination信号的默认值。</t>
        </is>
      </c>
    </row>
    <row r="10">
      <c r="A10" s="2" t="n">
        <v>9</v>
      </c>
      <c r="B10" s="3" t="inlineStr">
        <is>
          <t>Enable Receiver detection in PHY power state P3</t>
        </is>
      </c>
      <c r="C10" s="3" t="inlineStr">
        <is>
          <t>DWC_USB3_RXDET_IN_P3_DS</t>
        </is>
      </c>
      <c r="D10" s="3" t="inlineStr">
        <is>
          <t>1</t>
        </is>
      </c>
      <c r="E10" s="3" t="inlineStr">
        <is>
          <t>No (0); Y es (1)</t>
        </is>
      </c>
      <c r="F10" s="3">
        <f> 0</f>
        <v/>
      </c>
      <c r="G10" s="3" t="inlineStr">
        <is>
          <t>(DWC_USB3_SSPHY_INTERFACE==1) &amp;&amp; (DWC_USB3_MODE!=0)</t>
        </is>
      </c>
      <c r="H10" s="3" t="inlineStr">
        <is>
          <t>允许USB 3.0 Hub或主机下行端口在PHY电源状态P3下进行接收器检测。需确认PHY支持此功能后再启用。</t>
        </is>
      </c>
    </row>
    <row r="11">
      <c r="A11" s="2" t="n">
        <v>10</v>
      </c>
      <c r="B11" s="3" t="inlineStr">
        <is>
          <t>In Host Mode</t>
        </is>
      </c>
      <c r="C11" s="3" t="inlineStr">
        <is>
          <t>DWC_USB3_SUSPEND_ON_DISCONNECT_EN</t>
        </is>
      </c>
      <c r="D11" s="3" t="inlineStr">
        <is>
          <t>1</t>
        </is>
      </c>
      <c r="E11" s="3" t="inlineStr">
        <is>
          <t>No (0); Y es (1)</t>
        </is>
      </c>
      <c r="F11" s="3">
        <f> 1</f>
        <v/>
      </c>
      <c r="G11" s="3" t="inlineStr">
        <is>
          <t>(DWC_USB3_HSPHY_INTERFACE!=0 || DWC_USB3_FSPHY_INTERFACE!=0) &amp;&amp; (DWC_USB3_MBUS_TYPE!=4) &amp;&amp; (DWC_USB3_MODE==1 || DWC_USB3_MODE==2)</t>
        </is>
      </c>
      <c r="H11" s="3" t="inlineStr">
        <is>
          <t>USB 2.0端口断开连接时启用挂起以节省功耗。当DWC_USB3_NUM_SSIC_PORTS不为0时，此参数必须设为1。</t>
        </is>
      </c>
    </row>
    <row r="12">
      <c r="A12" s="2" t="n">
        <v>11</v>
      </c>
      <c r="B12" s="3" t="n"/>
      <c r="C12" s="3" t="inlineStr">
        <is>
          <t>DWC_USB3_NUM_SSIC_PORTS</t>
        </is>
      </c>
      <c r="D12" s="3" t="inlineStr">
        <is>
          <t>0</t>
        </is>
      </c>
      <c r="E12" s="3" t="inlineStr">
        <is>
          <t>0 (0); 1 (1); 2 (2); 3 (3); 4 (4); 5 (5); 6 (6); 7 (7); 8 (8); 9 (9); 10 (10); 11 (11); 12 (12); 13 (13); 14 (14); 15 (15)</t>
        </is>
      </c>
      <c r="F12" s="3">
        <f> 0</f>
        <v/>
      </c>
      <c r="G12" s="3" t="inlineStr">
        <is>
          <t>(DWC_USB3_MODE == 0 || DWC_USB3_MODE == 1 || DWC_USB3_MODE == 2) &amp;&amp; (DWC_USB3_SSPHY_INTERFACE == 1)</t>
        </is>
      </c>
      <c r="H12" s="3" t="inlineStr">
        <is>
          <t>SSIC(SuperSpeed片间)端口数量。</t>
        </is>
      </c>
    </row>
    <row r="13">
      <c r="A13" s="2" t="n">
        <v>12</v>
      </c>
      <c r="B13" s="3" t="inlineStr">
        <is>
          <t>Maximum gear speed for SSIC ports (HS_G1_ONL Y , RESERVED, HS_G1_G2_G3)</t>
        </is>
      </c>
      <c r="C13" s="3" t="inlineStr">
        <is>
          <t>DWC_USB3_SSIC_GEAR</t>
        </is>
      </c>
      <c r="D13" s="3" t="inlineStr">
        <is>
          <t>3</t>
        </is>
      </c>
      <c r="E13" s="3" t="inlineStr">
        <is>
          <t>HS_G1_ONLY (1); RESERVED (2); HS_G1_G2_G3 (3)</t>
        </is>
      </c>
      <c r="F13" s="3">
        <f> 3</f>
        <v/>
      </c>
      <c r="G13" s="3" t="inlineStr">
        <is>
          <t>DWC_USB3_NUM_SSIC_PORTS!=0</t>
        </is>
      </c>
      <c r="H13" s="3" t="inlineStr">
        <is>
          <t>所有SSIC端口支持的最大HS Gear等级。控制器支持低于该值的所有Gear。</t>
        </is>
      </c>
    </row>
    <row r="14">
      <c r="A14" s="2" t="n">
        <v>13</v>
      </c>
      <c r="B14" s="3" t="n"/>
      <c r="C14" s="3" t="inlineStr">
        <is>
          <t>DWC_USB3_SSIC_NUM_LANE</t>
        </is>
      </c>
      <c r="D14" s="3" t="inlineStr">
        <is>
          <t>1</t>
        </is>
      </c>
      <c r="E14" s="3" t="inlineStr">
        <is>
          <t>1-Lane (1); 2-Lane (2); 4-Lane (4)</t>
        </is>
      </c>
      <c r="F14" s="3">
        <f> 1</f>
        <v/>
      </c>
      <c r="G14" s="3" t="inlineStr">
        <is>
          <t>DWC_USB3_NUM_SSIC_PORTS!=0 &amp;&amp; DWC_USB3_SSIC_GEAR==3</t>
        </is>
      </c>
      <c r="H14" s="3" t="inlineStr">
        <is>
          <t>SSIC端口通道数量。</t>
        </is>
      </c>
    </row>
    <row r="15">
      <c r="A15" s="2" t="n">
        <v>14</v>
      </c>
      <c r="B15" s="3" t="inlineStr">
        <is>
          <t>Tx/Rx Symbol width of RMMI interface for SSIC ports</t>
        </is>
      </c>
      <c r="C15" s="3" t="inlineStr">
        <is>
          <t>DWC_USB3_RMMI_DATA_WIDTH</t>
        </is>
      </c>
      <c r="D15" s="3" t="inlineStr">
        <is>
          <t>40</t>
        </is>
      </c>
      <c r="E15" s="3" t="inlineStr">
        <is>
          <t>Reserved1 (10); Reserved2 (20); 40 (40)</t>
        </is>
      </c>
      <c r="F15" s="3">
        <f> 40</f>
        <v/>
      </c>
      <c r="G15" s="3" t="inlineStr">
        <is>
          <t>0</t>
        </is>
      </c>
      <c r="H15" s="3" t="inlineStr">
        <is>
          <t>SSIC端口RMMI接口数据宽度。即使在40位模式下也可通过寄存器编程为20位模式。</t>
        </is>
      </c>
    </row>
    <row r="16">
      <c r="A16" s="2" t="n">
        <v>15</v>
      </c>
      <c r="B16" s="3" t="inlineStr">
        <is>
          <t>Global USB3 RMMI Control Register's (GUSB3RMMICTL) Power-On Initialization Value (0x0-ffffffff)</t>
        </is>
      </c>
      <c r="C16" s="3" t="inlineStr">
        <is>
          <t>DWC_USB3_GUSB3RMMICTL_INIT</t>
        </is>
      </c>
      <c r="D16" s="3" t="inlineStr">
        <is>
          <t>32'h3800e4</t>
        </is>
      </c>
      <c r="E16" s="3" t="inlineStr">
        <is>
          <t>0x0, ..., 0xffffffff</t>
        </is>
      </c>
      <c r="F16" s="3" t="inlineStr">
        <is>
          <t>((GUSB3RMMICTL_ GEAR_DEFAULT | GUSB3RMMICTL_LANE_DEFAULT | GUSB3RMMICTL_WIDTH_DEFAULT | 0x000000e4))</t>
        </is>
      </c>
      <c r="G16" s="3" t="inlineStr">
        <is>
          <t>DWC_USB3_NUM_SSIC_PORTS!=0</t>
        </is>
      </c>
      <c r="H16" s="3" t="inlineStr">
        <is>
          <t>全局USB 3.0 RMMI控制寄存器(GUSB3RMMICTL)上电初始值，定义SSIC在RMMI接口上的控制字段。</t>
        </is>
      </c>
    </row>
    <row r="17">
      <c r="A17" s="2" t="n">
        <v>16</v>
      </c>
      <c r="B17" s="3" t="inlineStr">
        <is>
          <t>CB interface not used in MPHY</t>
        </is>
      </c>
      <c r="C17" s="3" t="inlineStr">
        <is>
          <t>DWC_USB3_SSIC_NON_SNPS_MPHY</t>
        </is>
      </c>
      <c r="D17" s="3" t="inlineStr">
        <is>
          <t>0</t>
        </is>
      </c>
      <c r="E17" s="3" t="inlineStr">
        <is>
          <t>No (0); Y es (1)</t>
        </is>
      </c>
      <c r="F17" s="3">
        <f> 0</f>
        <v/>
      </c>
      <c r="G17" s="3" t="inlineStr">
        <is>
          <t>DWC_USB3_NUM_SSIC_PORTS!=0</t>
        </is>
      </c>
      <c r="H17" s="3" t="inlineStr">
        <is>
          <t>是否为SSIC端口使用专有CB接口。选择CB接口时仅支持Synopsys MPHY。</t>
        </is>
      </c>
    </row>
    <row r="18">
      <c r="A18" s="2" t="n">
        <v>17</v>
      </c>
      <c r="B18" s="3" t="n"/>
      <c r="C18" s="3" t="inlineStr">
        <is>
          <t>DWC_USB3_SSIC_ROM_DEPTH</t>
        </is>
      </c>
      <c r="D18" s="3" t="inlineStr">
        <is>
          <t>0</t>
        </is>
      </c>
      <c r="E18" s="3" t="inlineStr">
        <is>
          <t>0 (0); 16 (16); 32 (32); 64 (64); 128 (128); 256 (256)</t>
        </is>
      </c>
      <c r="F18" s="3" t="inlineStr">
        <is>
          <t>((DWC_USB3_NUM_SSIC_PORTS !=0) ? 32 : 0)</t>
        </is>
      </c>
      <c r="G18" s="3" t="inlineStr">
        <is>
          <t>DWC_USB3_NUM_SSIC_PORTS !=0</t>
        </is>
      </c>
      <c r="H18" s="3" t="inlineStr">
        <is>
          <t>SSIC ROM深度(24位数据宽度)。ROM包含需写入MPHY的所有MPHY属性。</t>
        </is>
      </c>
    </row>
    <row r="19">
      <c r="A19" s="2" t="n">
        <v>18</v>
      </c>
      <c r="B19" s="3" t="inlineStr">
        <is>
          <t>Starting Depth of CONFIGURE_FOR_HS MPHY Attribute data in the SSIC ROM</t>
        </is>
      </c>
      <c r="C19" s="3" t="inlineStr">
        <is>
          <t>DWC_USB3_SSIC_ROM_RRAP_START_DEPTH</t>
        </is>
      </c>
      <c r="D19" s="3" t="inlineStr">
        <is>
          <t>0</t>
        </is>
      </c>
      <c r="E19" s="3" t="inlineStr">
        <is>
          <t>0, ..., 256</t>
        </is>
      </c>
      <c r="F19" s="3" t="inlineStr">
        <is>
          <t>((DWC_USB3_SSIC_ROM_DEPTH &gt; 16 ) ? 16 : 0)</t>
        </is>
      </c>
      <c r="G19" s="3" t="inlineStr">
        <is>
          <t>DWC_USB3_NUM_SSIC_PORTS !=0 &amp;&amp; DWC_USB3_SSIC_ROM_DEPTH != 0</t>
        </is>
      </c>
      <c r="H19" s="3" t="inlineStr">
        <is>
          <t>SSIC ROM中存储RRAP阶段CONFIGURE_FOR_HS用MPHY属性的起始深度。控制器从该深度到ROM_DEPTH-1读取属性并写入MPHY。</t>
        </is>
      </c>
    </row>
    <row r="20">
      <c r="A20" s="2" t="n">
        <v>19</v>
      </c>
      <c r="B20" s="3" t="inlineStr">
        <is>
          <t>Global SSIC Configuration Register (GSCFG) Power-On Initialization Valu e (0x0-ffffffff)</t>
        </is>
      </c>
      <c r="C20" s="3" t="inlineStr">
        <is>
          <t>DWC_USB3_GSCFG_INIT</t>
        </is>
      </c>
      <c r="D20" s="3" t="inlineStr">
        <is>
          <t>32'h440</t>
        </is>
      </c>
      <c r="E20" s="3" t="inlineStr">
        <is>
          <t>0x0, ..., 0xffffffff</t>
        </is>
      </c>
      <c r="F20" s="3">
        <f> 0x00000440</f>
        <v/>
      </c>
      <c r="G20" s="3" t="inlineStr">
        <is>
          <t>DWC_USB3_NUM_SSIC_PORTS!=0</t>
        </is>
      </c>
      <c r="H20" s="3" t="inlineStr">
        <is>
          <t>全局SSIC配置寄存器(GSCFG)上电初始值，定义SSIC配置字段。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Number of Device Mode Event Buffers</t>
        </is>
      </c>
      <c r="C2" s="3" t="inlineStr">
        <is>
          <t>DWC_USB3_DEVICE_NUM_INT</t>
        </is>
      </c>
      <c r="D2" s="3" t="inlineStr">
        <is>
          <t>1</t>
        </is>
      </c>
      <c r="E2" s="3" t="inlineStr">
        <is>
          <t>1, ..., 32</t>
        </is>
      </c>
      <c r="F2" s="3" t="inlineStr">
        <is>
          <t>1</t>
        </is>
      </c>
      <c r="G2" s="3" t="inlineStr">
        <is>
          <t>DWC_USB3_MODE !=1 &amp;&amp; DWC_USB3_MODE !=3 &amp;&amp; DWC_USB3_MBUS_TYPE!=4</t>
        </is>
      </c>
      <c r="H2" s="3" t="inlineStr">
        <is>
          <t>设备模式事件缓冲区/中断数量。单处理器SoC配多中断无意义；多核SoC中可将不同端点中断映射到不同处理器做负载均衡。标准类驱动接口(如Linux BOT gadget)建议用单中断。</t>
        </is>
      </c>
    </row>
    <row r="3">
      <c r="A3" s="2" t="n">
        <v>2</v>
      </c>
      <c r="B3" s="3" t="n"/>
      <c r="C3" s="3" t="inlineStr">
        <is>
          <t>DWC_USB3_NUM_EPS</t>
        </is>
      </c>
      <c r="D3" s="3" t="inlineStr">
        <is>
          <t>16</t>
        </is>
      </c>
      <c r="E3" s="3" t="inlineStr">
        <is>
          <t>4, ..., 32</t>
        </is>
      </c>
      <c r="F3" s="3" t="inlineStr">
        <is>
          <t>8</t>
        </is>
      </c>
      <c r="G3" s="3" t="inlineStr">
        <is>
          <t>DWC_USB3_MODE !=1 &amp;&amp; DWC_USB3_MODE !=3</t>
        </is>
      </c>
      <c r="H3" s="3" t="inlineStr">
        <is>
          <t>设备模式端点总数。</t>
        </is>
      </c>
    </row>
    <row r="4">
      <c r="A4" s="2" t="n">
        <v>3</v>
      </c>
      <c r="B4" s="3" t="inlineStr">
        <is>
          <t>Number of Device Mode Active IN Endpoints (2-16)</t>
        </is>
      </c>
      <c r="C4" s="3" t="inlineStr">
        <is>
          <t>DWC_USB3_NUM_IN_EPS</t>
        </is>
      </c>
      <c r="D4" s="3" t="inlineStr">
        <is>
          <t>8</t>
        </is>
      </c>
      <c r="E4" s="3" t="inlineStr">
        <is>
          <t>2, ..., 16</t>
        </is>
      </c>
      <c r="F4" s="3" t="inlineStr">
        <is>
          <t>4</t>
        </is>
      </c>
      <c r="G4" s="3" t="inlineStr">
        <is>
          <t>DWC_USB3_MODE != 1 &amp;&amp; DWC_USB3_MODE !=3</t>
        </is>
      </c>
      <c r="H4" s="3" t="inlineStr">
        <is>
          <t>设备模式最大活动IN端点数(含控制IN端点0)。决定TxFIFO实例数和Tx RAM分配。默认值4对应UASP大容量存储类+ISOC应用需求(Control-IN, Bulk-Data-IN, Bulk-Status-IN, ISOC-IN)。</t>
        </is>
      </c>
    </row>
    <row r="5">
      <c r="A5" s="2" t="n">
        <v>4</v>
      </c>
      <c r="B5" s="3" t="n"/>
      <c r="C5" s="3" t="inlineStr">
        <is>
          <t>DWC_USB3_CACHE_TRBS_PER_TRANSFER</t>
        </is>
      </c>
      <c r="D5" s="3" t="inlineStr">
        <is>
          <t>16</t>
        </is>
      </c>
      <c r="E5" s="3" t="inlineStr">
        <is>
          <t>2, ..., 32</t>
        </is>
      </c>
      <c r="F5" s="3" t="inlineStr">
        <is>
          <t>4</t>
        </is>
      </c>
      <c r="G5" s="3" t="inlineStr">
        <is>
          <t>DWC_USB3_MODE != 1 &amp;&amp; DWC_USB3_MODE !=3 &amp;&amp; DWC_USB3_MBUS_TYPE!=4</t>
        </is>
      </c>
      <c r="H5" s="3" t="inlineStr">
        <is>
          <t>每次传输的TRB(传输请求块)缓存数。</t>
        </is>
      </c>
    </row>
    <row r="6">
      <c r="A6" s="2" t="n">
        <v>5</v>
      </c>
      <c r="B6" s="3" t="inlineStr">
        <is>
          <t>Enable Device External Buffer Control</t>
        </is>
      </c>
      <c r="C6" s="3" t="inlineStr">
        <is>
          <t>DWC_USB3_EXT_BUFF_CONTROL</t>
        </is>
      </c>
      <c r="D6" s="3" t="inlineStr">
        <is>
          <t>0</t>
        </is>
      </c>
      <c r="E6" s="3" t="inlineStr">
        <is>
          <t>No (0); Y es (1)</t>
        </is>
      </c>
      <c r="F6" s="3">
        <f> 0</f>
        <v/>
      </c>
      <c r="G6" s="3" t="inlineStr">
        <is>
          <t>((DWC_USB3_MODE == 0) || (DWC_USB3_MODE == 2)) &amp;&amp; (DWC_USB3_MBUS_TYPE != 4)</t>
        </is>
      </c>
      <c r="H6" s="3" t="inlineStr">
        <is>
          <t>启用设备外部缓冲区控制边带信号。利用dev_usb_outep_pkt_buff_avail和dev_usb_inep_pkt_buff_avail信号指示外部Rx/Tx FIFO的空间/数据可用性。主要用于调试端点，有使用限制。</t>
        </is>
      </c>
    </row>
    <row r="7">
      <c r="A7" s="2" t="n">
        <v>6</v>
      </c>
      <c r="B7" s="3" t="n"/>
      <c r="C7" s="3" t="inlineStr">
        <is>
          <t>DWC_USB3_DEV_RXF_MAX_PACKET_SIZE</t>
        </is>
      </c>
      <c r="D7" s="3" t="inlineStr">
        <is>
          <t>1024</t>
        </is>
      </c>
      <c r="E7" s="3" t="inlineStr">
        <is>
          <t>1, ..., 1024</t>
        </is>
      </c>
      <c r="F7" s="3" t="inlineStr">
        <is>
          <t>(DWC_USB3_EN_USB2_ONL Y==1 &amp;&amp; DWC_USB3_EN_ISOC_SUPT==0 ? 512: 1024)</t>
        </is>
      </c>
      <c r="G7" s="3" t="inlineStr">
        <is>
          <t>((DWC_USB3_MODE == 0) || (DWC_USB3_MODE == 2))</t>
        </is>
      </c>
      <c r="H7" s="3" t="inlineStr">
        <is>
          <t>设备RxFIFO最大包大小(字节)。</t>
        </is>
      </c>
    </row>
    <row r="8">
      <c r="A8" s="2" t="n">
        <v>7</v>
      </c>
      <c r="B8" s="3" t="inlineStr">
        <is>
          <t>RxFIFO Size in Number of MaxPackets(1 to 16)</t>
        </is>
      </c>
      <c r="C8" s="3" t="inlineStr">
        <is>
          <t>DWC_USB3_DEV_RXF_NUM_MAX_PACKETS</t>
        </is>
      </c>
      <c r="D8" s="3" t="inlineStr">
        <is>
          <t>3</t>
        </is>
      </c>
      <c r="E8" s="3" t="inlineStr">
        <is>
          <t>1, ..., 16</t>
        </is>
      </c>
      <c r="F8" s="3" t="inlineStr">
        <is>
          <t>(DWC_USB3_EN_USB2_ONL Y==1 ? ((DWC_USB3_EN_ISOC_SUPT==1 &amp;&amp; DWC_USB3_MDBUS_ACCESS_GT21==1) ? 3: (DWC_USB3_MDBUS_ACCESS_GT21==1 ? 4: 2)): DWC_USB3_MDBUS_ACCESS_GT21==1 ? 5: 3)</t>
        </is>
      </c>
      <c r="G8" s="3" t="inlineStr">
        <is>
          <t>((DWC_USB3_MODE == 0) || (DWC_USB3_MODE == 2))</t>
        </is>
      </c>
      <c r="H8" s="3" t="inlineStr">
        <is>
          <t>RxFIFO最大包数。所有设备OUT端点共用同一RxFIFO。突发支持最低需要3包FIFO；SuperSpeed建议5包(若DMA延迟&gt;2.1us)。USB 2.0仅模式默认2包(低延迟)或3-4包(高延迟)。</t>
        </is>
      </c>
    </row>
    <row r="9">
      <c r="A9" s="2" t="n">
        <v>8</v>
      </c>
      <c r="B9" s="3" t="n"/>
      <c r="C9" s="3" t="inlineStr">
        <is>
          <t>DWC_USB3_DEV_RXF_DEPTH</t>
        </is>
      </c>
      <c r="D9" s="3" t="inlineStr">
        <is>
          <t>778</t>
        </is>
      </c>
      <c r="E9" s="3" t="inlineStr">
        <is>
          <t>((4*DWC_USB3_DEV_RXFIFO_OK_SPA CE) / DWC_USB3_MBYTES), ..., ; 8192</t>
        </is>
      </c>
      <c r="F9" s="3" t="inlineStr">
        <is>
          <t>(DWC_USB3_DEV_RXF_NUM_MAX_PACK ETS*(((DWC_USB3_DEV_RXF_MAX _PACKET_SIZE+DWC_USB3_MBYTES)-1)/DWC_USB3_MBYTES))+((DWC_USB3 _DEV_RXFIFO_OK_SPACE_MARGIN* 4)/DWC_USB3_MBYTES)</t>
        </is>
      </c>
      <c r="G9" s="3" t="inlineStr">
        <is>
          <t>((DWC_USB3_MODE == 0) || (DWC_USB3_MODE == 2))</t>
        </is>
      </c>
      <c r="H9" s="3" t="inlineStr">
        <is>
          <t>设备RxFIFO深度(字为单位)。</t>
        </is>
      </c>
    </row>
    <row r="10">
      <c r="A10" s="2" t="n">
        <v>9</v>
      </c>
      <c r="B10" s="3" t="inlineStr">
        <is>
          <t>IN Endpoint-0 FIFO Depth TxFIFO Depth(0 to 8192)</t>
        </is>
      </c>
      <c r="C10" s="3" t="inlineStr">
        <is>
          <t>DWC_USB3_DEV_TXF0_DEPTH</t>
        </is>
      </c>
      <c r="D10" s="3" t="inlineStr">
        <is>
          <t>130</t>
        </is>
      </c>
      <c r="E10" s="3" t="inlineStr">
        <is>
          <t>(1 * (64 / DWC_USB3_MBYTES + DWC_USB3_NPI_N) + ; DWC_USB3_NPI_N), ..., 8192</t>
        </is>
      </c>
      <c r="F10" s="3" t="inlineStr">
        <is>
          <t>((DWC_USB3_EN_USB2_ONL Y==1) ? ((64 / DWC_USB3_MBYTES + DWC_USB3_NPI_N) + DWC_USB3_NPI_N) : ((512 / DWC_USB3_MBYTES + DWC_USB3_NPI_N) + DWC_USB3_NPI_N))</t>
        </is>
      </c>
      <c r="G10" s="3" t="inlineStr">
        <is>
          <t>((DWC_USB3_MODE == 0) || (DWC_USB3_MODE == 2))</t>
        </is>
      </c>
      <c r="H10" s="3" t="inlineStr">
        <is>
          <t>TxFIFO 0深度(MDWIDTH位字为单位)。推荐值基于包大小和字节使能位数计算。</t>
        </is>
      </c>
    </row>
    <row r="11">
      <c r="A11" s="2" t="n">
        <v>10</v>
      </c>
      <c r="B11" s="3" t="inlineStr">
        <is>
          <t>IN Endpoint-1 FIFO Depth MaxPacket Size in Bytes for TxFIFO-n (1 to 1024) (for n = 1; n &lt;= 15)Selects TxFIFO 1 MaxPacket size in bytes ■The MaxPacket of a Bulk endpoint is 1024 bytes (or 512 bytes in 2.0-only mode). ■The MaxPacket of a ISOC endpoint is 1024 bytes when more than 1 packet is scheduled per Micro-Frame, otherwise this is application specific. ■The MaxPacket of an Interrupt endpoint is application specific. For example, a mouse-like Human Interface Device (HID) uses a packet size of 4 bytes.</t>
        </is>
      </c>
      <c r="C11" s="3" t="inlineStr">
        <is>
          <t>DWC_USB3_DEV_TXFn_MAX_PACKET_SIZE</t>
        </is>
      </c>
      <c r="D11" s="3" t="inlineStr">
        <is>
          <t>1024</t>
        </is>
      </c>
      <c r="E11" s="3" t="inlineStr">
        <is>
          <t>1, ..., 1024</t>
        </is>
      </c>
      <c r="F11" s="3" t="inlineStr">
        <is>
          <t>(DWC_USB3_EN_USB2_ONL Y==1 &amp;&amp; DWC_USB3_DEV_TXF1_BURST_EN==0 ? 512: 1024)</t>
        </is>
      </c>
      <c r="G11" s="3" t="inlineStr">
        <is>
          <t>((DWC_USB3_MODE == 0) || (DWC_USB3_MODE == 2))</t>
        </is>
      </c>
      <c r="H11" s="3" t="inlineStr">
        <is>
          <t>TxFIFO最大包大小(字节)。n=1~15对应各IN端点。</t>
        </is>
      </c>
    </row>
    <row r="12">
      <c r="A12" s="2" t="n">
        <v>11</v>
      </c>
      <c r="B12" s="3" t="n"/>
      <c r="C12" s="3" t="inlineStr">
        <is>
          <t>DWC_USB3_DEV_TXFn_BURST_EN</t>
        </is>
      </c>
      <c r="D12" s="3" t="inlineStr">
        <is>
          <t>1</t>
        </is>
      </c>
      <c r="E12" s="3" t="inlineStr">
        <is>
          <t>No (0); Y es (1)</t>
        </is>
      </c>
      <c r="F12" s="3" t="inlineStr">
        <is>
          <t>(DWC_USB3_EN_USB2_ONL Y==1 &amp;&amp; DWC_USB3_EN_ISOC_SUPT==0 ? 0: 1)</t>
        </is>
      </c>
      <c r="G12" s="3" t="inlineStr">
        <is>
          <t>((DWC_USB3_MODE == 0) || (DWC_USB3_MODE == 2))</t>
        </is>
      </c>
      <c r="H12" s="3" t="inlineStr">
        <is>
          <t>TxFIFO 1是否支持突发传输。SuperSpeed模式下突发端点至少需要3包FIFO，非突发端点推荐2包。USB 2.0仅模式仅适用于等时端点。</t>
        </is>
      </c>
    </row>
    <row r="13">
      <c r="A13" s="2" t="n">
        <v>12</v>
      </c>
      <c r="B13" s="3" t="inlineStr">
        <is>
          <t>TxFIFO-n Depth in Number of MaxPackets (1 to 16) (for n = 1; n &lt;= 15)Selects Number of MaxPackets for TxFIFO 1 All Device IN Endpoints have a dedicated TxFIFO. ■Burst support requires a minimum 3 MaxPacket FIFO size; however, for SuperSpeed, 5 MaxPackets is recommended if the master DMA bus latency plus access time for a 1KB packet is larger than 2.1 microseconds. ■While the recommended value is 3 for burstable endpoints, the recommended value is 2 for non-burstable endpoints (no more than 1 packet scheduled per micro-frame). ■However, for USB 2.0 only mode, the default is 2 in low latency system (&lt; 10 uS), 3 for ISOC, and 4 for non-ISOC high-latency system.</t>
        </is>
      </c>
      <c r="C13" s="3" t="inlineStr">
        <is>
          <t>DWC_USB3_DEV_TXFn_NUM_MAX_PACKETS</t>
        </is>
      </c>
      <c r="D13" s="3" t="inlineStr">
        <is>
          <t>3</t>
        </is>
      </c>
      <c r="E13" s="3" t="inlineStr">
        <is>
          <t>1, ..., 16</t>
        </is>
      </c>
      <c r="F13" s="3" t="inlineStr">
        <is>
          <t>(DWC_USB3_EN_USB2_ONL Y==1 ? ((DWC_USB3_DEV_TXF1_BURST_EN==1 &amp;&amp; DWC_USB3_MDBUS_ACCESS_GT21==1) ? 3: (DWC_USB3_MDBUS_ACCESS_GT21==1 ? 4: 2)): (DWC_USB3_DEV_TXF1_BURST_EN==0 ? 2: (DWC_USB3_MDBUS_ACCESS_GT21==1 ? 5: 3)))</t>
        </is>
      </c>
      <c r="G13" s="3" t="inlineStr">
        <is>
          <t>((DWC_USB3_MODE == 0) || (DWC_USB3_MODE == 2))</t>
        </is>
      </c>
      <c r="H13" s="3" t="inlineStr">
        <is>
          <t>TxFIFO最大包数。</t>
        </is>
      </c>
    </row>
    <row r="14">
      <c r="A14" s="2" t="n">
        <v>13</v>
      </c>
      <c r="B14" s="3" t="n"/>
      <c r="C14" s="3" t="inlineStr">
        <is>
          <t>DWC_USB3_DEV_TXFn_DEPTH</t>
        </is>
      </c>
      <c r="D14" s="3" t="inlineStr">
        <is>
          <t>772</t>
        </is>
      </c>
      <c r="E14" s="3" t="inlineStr">
        <is>
          <t>0, ..., 8192</t>
        </is>
      </c>
      <c r="F14" s="3" t="inlineStr">
        <is>
          <t>(DWC_USB3_DEV_TXF1_NUM_MAX_PAC KETS*((((DWC_USB3_DEV_TXF1_M AX_PACKET_SIZE+DWC_USB3_MBYTES)-1)/DWC_USB3_MBYTES)+DWC_USB3_NPI_N))+DWC_USB3_NPI_N</t>
        </is>
      </c>
      <c r="G14" s="3" t="inlineStr">
        <is>
          <t>((DWC_USB3_MODE == 0) || (DWC_USB3_MODE == 2))</t>
        </is>
      </c>
      <c r="H14" s="3" t="inlineStr">
        <is>
          <t>TxFIFO深度(字为单位)。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Enable xHCI Debug Capability</t>
        </is>
      </c>
      <c r="C2" s="3" t="inlineStr">
        <is>
          <t>DWC_USB3_EN_DBC</t>
        </is>
      </c>
      <c r="D2" s="3" t="inlineStr">
        <is>
          <t>0</t>
        </is>
      </c>
      <c r="E2" s="3" t="inlineStr">
        <is>
          <t>No (0); Y es (1)</t>
        </is>
      </c>
      <c r="F2" s="3" t="inlineStr">
        <is>
          <t>No</t>
        </is>
      </c>
      <c r="G2" s="3" t="inlineStr">
        <is>
          <t>((DWC_USB3_MODE == 1) || (DWC_USB3_MODE == 2)) &amp;&amp; (DWC_USB3_MDWIDTH != 32) &amp;&amp; (DWC_USB3_EN_USB2_ONL Y == 0)</t>
        </is>
      </c>
      <c r="H2" s="3" t="inlineStr">
        <is>
          <t>启用xHCI调试能力(Debug Capability)。</t>
        </is>
      </c>
    </row>
    <row r="3">
      <c r="A3" s="2" t="n">
        <v>2</v>
      </c>
      <c r="B3" s="3" t="inlineStr">
        <is>
          <t>Number of Host Interrupters (1- 16)</t>
        </is>
      </c>
      <c r="C3" s="3" t="inlineStr">
        <is>
          <t>DWC_USB3_HOST_NUM_INTERRUPTER_SUPT</t>
        </is>
      </c>
      <c r="D3" s="3" t="inlineStr">
        <is>
          <t>1</t>
        </is>
      </c>
      <c r="E3" s="3" t="inlineStr">
        <is>
          <t>1, ..., 16</t>
        </is>
      </c>
      <c r="F3" s="3" t="inlineStr">
        <is>
          <t>1</t>
        </is>
      </c>
      <c r="G3" s="3" t="inlineStr">
        <is>
          <t>DWC_USB3_MODE == 1 || DWC_USB3_MODE == 2</t>
        </is>
      </c>
      <c r="H3" s="3" t="inlineStr">
        <is>
          <t>支持的中断器数量，每个需要100字节内部RAM。建议不超过8个。单处理器SoC配多中断无意义；多核SoC中可将USB中断映射到不同处理器。嵌入式系统建议单中断。</t>
        </is>
      </c>
    </row>
    <row r="4">
      <c r="A4" s="2" t="n">
        <v>3</v>
      </c>
      <c r="B4" s="3" t="n"/>
      <c r="C4" s="3" t="inlineStr">
        <is>
          <t>DWC_USB3_EN_SEPARATE_DESC_QUEUES</t>
        </is>
      </c>
      <c r="D4" s="3" t="inlineStr">
        <is>
          <t>0</t>
        </is>
      </c>
      <c r="E4" s="3" t="inlineStr">
        <is>
          <t>No (0); Y es (1)</t>
        </is>
      </c>
      <c r="F4" s="3" t="inlineStr">
        <is>
          <t>((DWC_USB3_MODE==1 || DWC_USB3_MODE==2) &amp;&amp; DWC_USB3_MBUS_TYPE!=4 &amp;&amp; DWC_USB3_MDWIDTH&gt;=64 &amp;&amp; DWC_USB3_EN_USB2_ONL Y==0 &amp;&amp; DWC_USB3_HOST_NUM_INTERRUPTER_SUPT&lt;=8) ? 1: 0</t>
        </is>
      </c>
      <c r="G4" s="3" t="inlineStr">
        <is>
          <t>(DWC_USB3_MODE==1 || DWC_USB3_MODE==2) &amp;&amp; DWC_USB3_MBUS_TYPE!=4 &amp;&amp; DWC_USB3_MDWIDTH&gt;=64 &amp;&amp; DWC_USB3_EN_USB2_ONL Y==0 &amp;&amp; DWC_USB3_HOST_NUM_INTERRUPTER_SUPT&lt;=8</t>
        </is>
      </c>
      <c r="H4" s="3" t="inlineStr">
        <is>
          <t>为SS/HS/FS-LS总线实例实现独立描述符队列。推荐启用(未来版本将移除不启用的选项)。可防止SS高流量影响HS/FS-LS QoS。需要额外RAM。</t>
        </is>
      </c>
    </row>
    <row r="5">
      <c r="A5" s="2" t="n">
        <v>4</v>
      </c>
      <c r="B5" s="3" t="inlineStr">
        <is>
          <t>Number of USB2.0 (HS/FS/LS) Root Hub Ports (1-15)</t>
        </is>
      </c>
      <c r="C5" s="3" t="inlineStr">
        <is>
          <t>DWC_USB3_HOST_NUM_U2_ROOT_PORTS</t>
        </is>
      </c>
      <c r="D5" s="3" t="inlineStr">
        <is>
          <t>1</t>
        </is>
      </c>
      <c r="E5" s="3" t="inlineStr">
        <is>
          <t>1, 2, 3, 4, 5, 6, 7, 8, 9, 10, 11, 12, 13, 14, 15</t>
        </is>
      </c>
      <c r="F5" s="3" t="inlineStr">
        <is>
          <t>1</t>
        </is>
      </c>
      <c r="G5" s="3" t="inlineStr">
        <is>
          <t>DWC_USB3_MODE == 1 || DWC_USB3_MODE == 2</t>
        </is>
      </c>
      <c r="H5" s="3" t="inlineStr">
        <is>
          <t>USB 2.0根集线器端口数。每个USB 2.0端口面积约12K门。</t>
        </is>
      </c>
    </row>
    <row r="6">
      <c r="A6" s="2" t="n">
        <v>5</v>
      </c>
      <c r="B6" s="3" t="inlineStr">
        <is>
          <t>Number of USB3 SS Root Hub Ports (1-15)</t>
        </is>
      </c>
      <c r="C6" s="3" t="inlineStr">
        <is>
          <t>DWC_USB3_HOST_NUM_U3_ROOT_PORTS</t>
        </is>
      </c>
      <c r="D6" s="3" t="inlineStr">
        <is>
          <t>1</t>
        </is>
      </c>
      <c r="E6" s="3" t="inlineStr">
        <is>
          <t>1, 2, 3, 4, 5, 6, 7, 8, 9, 10, 11, 12, 13, 14, 15</t>
        </is>
      </c>
      <c r="F6" s="3" t="inlineStr">
        <is>
          <t>1</t>
        </is>
      </c>
      <c r="G6" s="3" t="inlineStr">
        <is>
          <t>(DWC_USB3_MODE == 1 || DWC_USB3_MODE == 2) &amp;&amp; (DWC_USB3_EN_USB2_ONL Y==0)</t>
        </is>
      </c>
      <c r="H6" s="3" t="inlineStr">
        <is>
          <t>USB 3.0根集线器端口数。每个USB 3.0端口面积约52K门。</t>
        </is>
      </c>
    </row>
    <row r="7">
      <c r="A7" s="2" t="n">
        <v>6</v>
      </c>
      <c r="B7" s="3" t="n"/>
      <c r="C7" s="3" t="inlineStr">
        <is>
          <t>DWC_USB3_NUM_DEVICE_SUPT</t>
        </is>
      </c>
      <c r="D7" s="3" t="inlineStr">
        <is>
          <t>64</t>
        </is>
      </c>
      <c r="E7" s="3" t="inlineStr">
        <is>
          <t>64, 127</t>
        </is>
      </c>
      <c r="F7" s="3" t="inlineStr">
        <is>
          <t>((DWC_USB3_EN_USB2_ONL Y == 0) ? 64 : 64)</t>
        </is>
      </c>
      <c r="G7" s="3" t="inlineStr">
        <is>
          <t>DWC_USB3_MODE == 1 || DWC_USB3_MODE == 2</t>
        </is>
      </c>
      <c r="H7" s="3" t="inlineStr">
        <is>
          <t>主机模式下支持的设备数量。</t>
        </is>
      </c>
    </row>
    <row r="8">
      <c r="A8" s="2" t="n">
        <v>7</v>
      </c>
      <c r="B8" s="3" t="inlineStr">
        <is>
          <t>Number of Periodic Endpoints Supported (32-510)</t>
        </is>
      </c>
      <c r="C8" s="3" t="inlineStr">
        <is>
          <t>DWC_USB3_HOST_NUM_PERIODIC_EP</t>
        </is>
      </c>
      <c r="D8" s="3" t="inlineStr">
        <is>
          <t>32</t>
        </is>
      </c>
      <c r="E8" s="3" t="inlineStr">
        <is>
          <t>32, ..., 510</t>
        </is>
      </c>
      <c r="F8" s="3" t="inlineStr">
        <is>
          <t>((DWC_USB3_EN_USB2_ONL Y == 0) ? 32 : 32)</t>
        </is>
      </c>
      <c r="G8" s="3" t="inlineStr">
        <is>
          <t>DWC_USB3_MODE == 1 || DWC_USB3_MODE == 2</t>
        </is>
      </c>
      <c r="H8" s="3" t="inlineStr">
        <is>
          <t>所有USB总线实例(SS+HS+FS/LS)的周期性端点数。每个周期性端点需要20字节内部RAM。典型设备(键盘、鼠标、摄像头等)使用1-2个周期性端点。USB-IF兼容性测试配置含约20个周期性端点。</t>
        </is>
      </c>
    </row>
    <row r="9">
      <c r="A9" s="2" t="n">
        <v>8</v>
      </c>
      <c r="B9" s="3" t="n"/>
      <c r="C9" s="3" t="inlineStr">
        <is>
          <t>DWC_USB3_FREECLK_USB2_EXIST</t>
        </is>
      </c>
      <c r="D9" s="3" t="inlineStr">
        <is>
          <t>1</t>
        </is>
      </c>
      <c r="E9" s="3" t="inlineStr">
        <is>
          <t>No (0); Y es (1)</t>
        </is>
      </c>
      <c r="F9" s="3" t="inlineStr">
        <is>
          <t>(((DWC_USB3_MODE==1) | (DWC_USB3_MODE==2)))? 1 : 0</t>
        </is>
      </c>
      <c r="G9" s="3" t="inlineStr">
        <is>
          <t>DWC_USB3_MODE == 1 || DWC_USB3_MODE == 2</t>
        </is>
      </c>
      <c r="H9" s="3" t="inlineStr">
        <is>
          <t>USB 2.0 PHY是否提供自由运行时钟。若提供，应连接到utmi_clk[0]输入，内核将其用于内部mac2时钟生成。</t>
        </is>
      </c>
    </row>
    <row r="10">
      <c r="A10" s="2" t="n">
        <v>9</v>
      </c>
      <c r="B10" s="3" t="inlineStr">
        <is>
          <t>Number of SuperSpeed USB Bus-Instances (1-4)</t>
        </is>
      </c>
      <c r="C10" s="3" t="inlineStr">
        <is>
          <t>DWC_USB3_NUM_SS_USB_INSTANCES</t>
        </is>
      </c>
      <c r="D10" s="3" t="inlineStr">
        <is>
          <t>1</t>
        </is>
      </c>
      <c r="E10" s="3" t="inlineStr">
        <is>
          <t>1, 2, 3, 4</t>
        </is>
      </c>
      <c r="F10" s="3" t="inlineStr">
        <is>
          <t>1</t>
        </is>
      </c>
      <c r="G10" s="3" t="inlineStr">
        <is>
          <t>(DWC_USB3_MODE == 1 || DWC_USB3_MODE == 2) &amp;&amp; DWC_USB3_EN_USB2_ONL Y==0 &amp;&amp; DWC_USB3_HOST_NUM_U3_ROOT_PORTS != 1 &amp;&amp; DWC_USB3_MDBUS_ACCESS_GT21 == 0</t>
        </is>
      </c>
      <c r="H10" s="3" t="inlineStr">
        <is>
          <t>SuperSpeed USB总线实例数。实现并发USB 3.0传输(N个实例×8Gbps)。每个SS实例面积约145K门。不能超过USB 3.0根集线器端口数。</t>
        </is>
      </c>
    </row>
    <row r="11">
      <c r="A11" s="2" t="n">
        <v>10</v>
      </c>
      <c r="B11" s="3" t="n"/>
      <c r="C11" s="3" t="inlineStr">
        <is>
          <t>DWC_USB3_NUM_HS_USB_INSTANCES</t>
        </is>
      </c>
      <c r="D11" s="3" t="inlineStr">
        <is>
          <t>1</t>
        </is>
      </c>
      <c r="E11" s="3" t="inlineStr">
        <is>
          <t>1, 2, 3, 4</t>
        </is>
      </c>
      <c r="F11" s="3" t="inlineStr">
        <is>
          <t>1</t>
        </is>
      </c>
      <c r="G11" s="3" t="inlineStr">
        <is>
          <t>(DWC_USB3_MODE == 1 || DWC_USB3_MODE == 2) &amp;&amp; DWC_USB3_HOST_NUM_U2_ROOT_PORTS != 1</t>
        </is>
      </c>
      <c r="H11" s="3" t="inlineStr">
        <is>
          <t>高速USB总线实例数。</t>
        </is>
      </c>
    </row>
    <row r="12">
      <c r="A12" s="2" t="n">
        <v>11</v>
      </c>
      <c r="B12" s="3" t="inlineStr">
        <is>
          <t>Number of Cached TRBs for Each Debug Capability Endpoint (16-126)It is recommended not to reduce the size from default value. Specifies the number of TRBs that can be cached in the core for each cached endpoint in the Debug Capability. 16 bytes of internal RAM are allocated for each cached TRB. The TRB cache must be large enough to hold TRBs (including Link TRBs) for at least one maximum-packet-size packet. For better performanc e or when system lat ency is large, TRB cache for maximum-burst-size of packets is recommended.</t>
        </is>
      </c>
      <c r="C12" s="3" t="inlineStr">
        <is>
          <t>DWC_USB3_DBC_TRBS_PER_TRANSFER</t>
        </is>
      </c>
      <c r="D12" s="3" t="inlineStr">
        <is>
          <t>16</t>
        </is>
      </c>
      <c r="E12" s="3" t="inlineStr">
        <is>
          <t>16, ..., 126</t>
        </is>
      </c>
      <c r="F12" s="3" t="inlineStr">
        <is>
          <t>16</t>
        </is>
      </c>
      <c r="G12" s="3" t="inlineStr">
        <is>
          <t>DWC_USB3_EN_DBC == 1</t>
        </is>
      </c>
      <c r="H12" s="3" t="inlineStr">
        <is>
          <t>调试能力(DbC)模式下每次传输的TRB缓存数。</t>
        </is>
      </c>
    </row>
    <row r="13">
      <c r="A13" s="2" t="n">
        <v>12</v>
      </c>
      <c r="B13" s="3" t="inlineStr">
        <is>
          <t>Number of Cached Endpoints for Each SuperSpeed USB Instance (1-32)Recommended not to reduce the size from default value. Specifies the number of SuperSpeed endpoints that can be cached for each SuperSpeed USB Bus- Instance. (136 + DWC_USB3_HOST_NUM_CACHE_TRB_PER_SS_EP * 16) bytes of internal RAM are allocated for each super speed endpoint cache.</t>
        </is>
      </c>
      <c r="C13" s="3" t="inlineStr">
        <is>
          <t>DWC_USB3_HOST_NUM_CACHE_EP_PER_SS_INSTANCE</t>
        </is>
      </c>
      <c r="D13" s="3" t="inlineStr">
        <is>
          <t>8</t>
        </is>
      </c>
      <c r="E13" s="3" t="inlineStr">
        <is>
          <t>1, ..., 32</t>
        </is>
      </c>
      <c r="F13" s="3" t="inlineStr">
        <is>
          <t>((DWC_USB3_MDBUS_ACCESS_GT21 == 0) ? 8 : 10)</t>
        </is>
      </c>
      <c r="G13" s="3" t="inlineStr">
        <is>
          <t>(DWC_USB3_MODE == 1 || DWC_USB3_MODE == 2) &amp;&amp; (DWC_USB3_EN_USB2_ONL Y==0)</t>
        </is>
      </c>
      <c r="H13" s="3" t="inlineStr">
        <is>
          <t>每个SuperSpeed总线实例缓存的端点数。</t>
        </is>
      </c>
    </row>
    <row r="14">
      <c r="A14" s="2" t="n">
        <v>13</v>
      </c>
      <c r="B14" s="3" t="n"/>
      <c r="C14" s="3" t="inlineStr">
        <is>
          <t>DWC_USB3_HOST_NUM_CACHE_TRB_PER_SS_EP</t>
        </is>
      </c>
      <c r="D14" s="3" t="inlineStr">
        <is>
          <t>16</t>
        </is>
      </c>
      <c r="E14" s="3" t="inlineStr">
        <is>
          <t>2, ..., 126</t>
        </is>
      </c>
      <c r="F14" s="3" t="inlineStr">
        <is>
          <t>16</t>
        </is>
      </c>
      <c r="G14" s="3" t="inlineStr">
        <is>
          <t>(DWC_USB3_MODE == 1 || DWC_USB3_MODE == 2) &amp;&amp; (DWC_USB3_EN_USB2_ONL Y==0)</t>
        </is>
      </c>
      <c r="H14" s="3" t="inlineStr">
        <is>
          <t>每个SuperSpeed端点缓存的TRB数。</t>
        </is>
      </c>
    </row>
    <row r="15">
      <c r="A15" s="2" t="n">
        <v>14</v>
      </c>
      <c r="B15" s="3" t="inlineStr">
        <is>
          <t>Number of Cached Endpoints for Each High-Speed USB Instance (1-32)Recommended not to reduce the size from default value. Specifies the number of High-Speed endpoints that can be cached for each High-Speed USB Bus-Instance. (120 + DWC_USB3_HOST_NUM_CACHE_TRB_PER_HS_EP * 16) bytes of internal RAM are allocated for each high speed endpoint cache. If SS is enabled and if the system bus latency is more than 2.1uS, then at least 20 endpoint cache and the following " Number of Cached TRBs for Each Cached High-Speed Endpoint" parameter size can be reduced to 10 from 20 for optimized RAM size.</t>
        </is>
      </c>
      <c r="C15" s="3" t="inlineStr">
        <is>
          <t>DWC_USB3_HOST_NUM_CACHE_EP_PER_HS_INSTANCE</t>
        </is>
      </c>
      <c r="D15" s="3" t="inlineStr">
        <is>
          <t>10</t>
        </is>
      </c>
      <c r="E15" s="3" t="inlineStr">
        <is>
          <t>1, ..., 32</t>
        </is>
      </c>
      <c r="F15" s="3" t="inlineStr">
        <is>
          <t>((DWC_USB3_EN_USB2_ONL Y == 1) ? 8 : (DWC_USB3_MDBUS_ACCESS_GT21 == 0) ? 10 : 20)</t>
        </is>
      </c>
      <c r="G15" s="3" t="inlineStr">
        <is>
          <t>DWC_USB3_MODE == 1 || DWC_USB3_MODE == 2</t>
        </is>
      </c>
      <c r="H15" s="3" t="inlineStr">
        <is>
          <t>每个高速总线实例缓存的端点数。</t>
        </is>
      </c>
    </row>
    <row r="16">
      <c r="A16" s="2" t="n">
        <v>15</v>
      </c>
      <c r="B16" s="3" t="n"/>
      <c r="C16" s="3" t="inlineStr">
        <is>
          <t>DWC_USB3_HOST_NUM_CACHE_TRB_PER_HS_EP</t>
        </is>
      </c>
      <c r="D16" s="3" t="inlineStr">
        <is>
          <t>8</t>
        </is>
      </c>
      <c r="E16" s="3" t="inlineStr">
        <is>
          <t>2, ..., 126</t>
        </is>
      </c>
      <c r="F16" s="3" t="inlineStr">
        <is>
          <t>((DWC_USB3_EN_USB2_ONL Y == 1) ? 8 : (DWC_USB3_MDBUS_ACCESS_GT21 == 0) ? 8 : 10)</t>
        </is>
      </c>
      <c r="G16" s="3" t="inlineStr">
        <is>
          <t>DWC_USB3_MODE == 1 || DWC_USB3_MODE == 2</t>
        </is>
      </c>
      <c r="H16" s="3" t="inlineStr">
        <is>
          <t>每个高速端点缓存的TRB数。</t>
        </is>
      </c>
    </row>
    <row r="17">
      <c r="A17" s="2" t="n">
        <v>16</v>
      </c>
      <c r="B17" s="3" t="inlineStr">
        <is>
          <t>Number of Cached Endpoints for Each Full/Low-Speed USB Instance (1-32)Recommended not to reduce the size from default value. Specifies the number of Full/Low-Speed endpoints that can be cached for each Full/Low-Speed USB Bus-Instance. (120 + DWC_USB3_HOST_NUM_CACHE_TRB_PER_FSLS_EP * 16) bytes of internal RAM are allocated for each full/low speed endpoint cache.</t>
        </is>
      </c>
      <c r="C17" s="3" t="inlineStr">
        <is>
          <t>DWC_USB3_HOST_NUM_CACHE_EP_PER_FSLS_INSTANCE</t>
        </is>
      </c>
      <c r="D17" s="3" t="inlineStr">
        <is>
          <t>2</t>
        </is>
      </c>
      <c r="E17" s="3" t="inlineStr">
        <is>
          <t>1, ..., 32</t>
        </is>
      </c>
      <c r="F17" s="3" t="inlineStr">
        <is>
          <t>((DWC_USB3_EN_USB2_ONL Y == 1) ? 2 : (DWC_USB3_MDBUS_ACCESS_GT21 == 0) ? 2 : 4)</t>
        </is>
      </c>
      <c r="G17" s="3" t="inlineStr">
        <is>
          <t>DWC_USB3_MODE == 1 || DWC_USB3_MODE == 2</t>
        </is>
      </c>
      <c r="H17" s="3" t="inlineStr">
        <is>
          <t>每个全速/低速总线实例缓存的端点数。</t>
        </is>
      </c>
    </row>
    <row r="18">
      <c r="A18" s="2" t="n">
        <v>17</v>
      </c>
      <c r="B18" s="3" t="n"/>
      <c r="C18" s="3" t="inlineStr">
        <is>
          <t>DWC_USB3_HOST_NUM_CACHE_TRB_PER_FSLS_EP</t>
        </is>
      </c>
      <c r="D18" s="3" t="inlineStr">
        <is>
          <t>8</t>
        </is>
      </c>
      <c r="E18" s="3" t="inlineStr">
        <is>
          <t>2, ..., 126</t>
        </is>
      </c>
      <c r="F18" s="3" t="inlineStr">
        <is>
          <t>((DWC_USB3_EN_USB2_ONL Y == 1) ? 8 : (DWC_USB3_MDBUS_ACCESS_GT21 == 0) ? 8 : 10)</t>
        </is>
      </c>
      <c r="G18" s="3" t="inlineStr">
        <is>
          <t>DWC_USB3_MODE == 1 || DWC_USB3_MODE == 2</t>
        </is>
      </c>
      <c r="H18" s="3" t="inlineStr">
        <is>
          <t>每个全速/低速端点缓存的TRB数。</t>
        </is>
      </c>
    </row>
    <row r="19">
      <c r="A19" s="2" t="n">
        <v>18</v>
      </c>
      <c r="B19" s="3" t="inlineStr">
        <is>
          <t>Size of the SuperSpeed RxFIFO in Number of 1024-byte Packets - Per SS Bus-Instance (1-32)Recommended not to reduce the size from default value. Specifies the size of the SuperSpeed RxFIFO in number of 1024-byte packets per SS Bus-Instance. Each SuperSpeed USB Bus-Instance would require one RxFIFO. For example, if you have 2 SS Bus-Instances and chose 3 for this parameter, then 6144 bytes of RAM is allocated for SS RxFIFO. Each 1024 bytes provides a 2.1us latency tolerance. If the system bus latency is more than 2.1uS, then at least a 5 to 6 packet buffer is recommended. For more information, see the "Memory Requirements" section in the Databook.</t>
        </is>
      </c>
      <c r="C19" s="3" t="inlineStr">
        <is>
          <t>DWC_USB3_NUM_RXF_SS_PKTS</t>
        </is>
      </c>
      <c r="D19" s="3" t="inlineStr">
        <is>
          <t>3</t>
        </is>
      </c>
      <c r="E19" s="3" t="inlineStr">
        <is>
          <t>1, ..., 32</t>
        </is>
      </c>
      <c r="F19" s="3" t="inlineStr">
        <is>
          <t>((DWC_USB3_MDBUS_ACCESS_GT21 == 0) ? 3 : 5)</t>
        </is>
      </c>
      <c r="G19" s="3" t="inlineStr">
        <is>
          <t>(DWC_USB3_MODE == 1 || DWC_USB3_MODE == 2) &amp;&amp; DWC_USB3_MBUS_TYPE!=4 &amp;&amp; (D WC_USB3_EN_USB2_ONL Y==0)</t>
        </is>
      </c>
      <c r="H19" s="3" t="inlineStr">
        <is>
          <t>SuperSpeed RxFIFO包数。</t>
        </is>
      </c>
    </row>
    <row r="20">
      <c r="A20" s="2" t="n">
        <v>19</v>
      </c>
      <c r="B20" s="3" t="n"/>
      <c r="C20" s="3" t="inlineStr">
        <is>
          <t>DWC_USB3_NUM_RXF_HS_PKTS</t>
        </is>
      </c>
      <c r="D20" s="3" t="inlineStr">
        <is>
          <t>2</t>
        </is>
      </c>
      <c r="E20" s="3" t="inlineStr">
        <is>
          <t>1, ..., 16</t>
        </is>
      </c>
      <c r="F20" s="3" t="inlineStr">
        <is>
          <t>((DWC_USB3_MDBUS_ACCESS_GT21 == 0) ? 2 : 3)</t>
        </is>
      </c>
      <c r="G20" s="3" t="inlineStr">
        <is>
          <t>(DWC_USB3_MODE == 1 || DWC_USB3_MODE == 2) &amp;&amp; DWC_USB3_MBUS_TYPE!=4</t>
        </is>
      </c>
      <c r="H20" s="3" t="inlineStr">
        <is>
          <t>高速RxFIFO包数。</t>
        </is>
      </c>
    </row>
    <row r="21">
      <c r="A21" s="2" t="n">
        <v>20</v>
      </c>
      <c r="B21" s="3" t="inlineStr">
        <is>
          <t>Size of the Full-Speed/Low- Speed RxFIFO in Number of 1024-byte Packets - Per FS/LS Bus-Instance (1-4)Recommended not to reduce the size from default value. Specifies the size of the Full-Speed/Low-Speed RxFIFO in number of 1024-byte packets per FS/LS Bus-Instance. Each Full-Speed/Low-Speed USB Bus-Instance requires one RxFIFO. For example, if you have 1 FS/LS Bus-Instances and chose 1 for this parameter, then 1024 bytes of RAM is allocated for FS/LS RxFIFO. Since FS ISOC max payload size is 1023, at least 1024 bytes must be allocated for FS/LS RxFIFO. For more information, see the "Memory Requirements" section of the Databook.</t>
        </is>
      </c>
      <c r="C21" s="3" t="inlineStr">
        <is>
          <t>DWC_USB3_NUM_RXF_FSLS_PKTS</t>
        </is>
      </c>
      <c r="D21" s="3" t="inlineStr">
        <is>
          <t>1</t>
        </is>
      </c>
      <c r="E21" s="3" t="inlineStr">
        <is>
          <t>1, ..., 4</t>
        </is>
      </c>
      <c r="F21" s="3" t="inlineStr">
        <is>
          <t>1</t>
        </is>
      </c>
      <c r="G21" s="3" t="inlineStr">
        <is>
          <t>(DWC_USB3_MODE == 1 || DWC_USB3_MODE == 2) &amp;&amp; DWC_USB3_MBUS_TYPE!=4</t>
        </is>
      </c>
      <c r="H21" s="3" t="inlineStr">
        <is>
          <t>全速/低速RxFIFO包数。</t>
        </is>
      </c>
    </row>
    <row r="22">
      <c r="A22" s="2" t="n">
        <v>21</v>
      </c>
      <c r="B22" s="3" t="inlineStr">
        <is>
          <t>Size of the SuperSpeed TxFIFO in Number of 1024-byte Packets - Per SS Bus-Instance (1-32)Recommended not to reduce the size from default value. Specifies the size of the SuperSpeed TxFIFO in number of 1024-byte packets per SS Bus-Instance. Each SuperSpeed USB Bus-Instance requires one TxFIFO. For example, if you have 2 SS Bus-Instances and chose 4 for this parameter, then 8182 bytes of RAM is allocated for SS TxFIFO. In a PCIe applicat ion, the read access has more latency than write. It is recommended to allocate more TxFIFO than RxFIFO which gives better area and performance trade off. Each 1024byte provides a 2.1us latency tolerance. If the system bus latency is more than 2.1uS, then at least a 5 to 6 packet buffer is recommended. For more information, see the "Memory Requirements" section of the Databook.</t>
        </is>
      </c>
      <c r="C22" s="3" t="inlineStr">
        <is>
          <t>DWC_USB3_NUM_TXF_SS_PKTS</t>
        </is>
      </c>
      <c r="D22" s="3" t="inlineStr">
        <is>
          <t>4</t>
        </is>
      </c>
      <c r="E22" s="3" t="inlineStr">
        <is>
          <t>1, ..., 32</t>
        </is>
      </c>
      <c r="F22" s="3" t="inlineStr">
        <is>
          <t>((DWC_USB3_MDBUS_ACCESS_GT21 == 0) ? 4 : 5)</t>
        </is>
      </c>
      <c r="G22" s="3" t="inlineStr">
        <is>
          <t>(DWC_USB3_MODE == 1 || DWC_USB3_MODE == 2) &amp;&amp; DWC_USB3_MBUS_TYPE!=4 &amp;&amp; (D WC_USB3_EN_USB2_ONL Y==0)</t>
        </is>
      </c>
      <c r="H22" s="3" t="inlineStr">
        <is>
          <t>SuperSpeed TxFIFO包数。</t>
        </is>
      </c>
    </row>
    <row r="23">
      <c r="A23" s="2" t="n">
        <v>22</v>
      </c>
      <c r="B23" s="3" t="n"/>
      <c r="C23" s="3" t="inlineStr">
        <is>
          <t>DWC_USB3_NUM_TXF_HS_PKTS</t>
        </is>
      </c>
      <c r="D23" s="3" t="inlineStr">
        <is>
          <t>2</t>
        </is>
      </c>
      <c r="E23" s="3" t="inlineStr">
        <is>
          <t>1, ..., 16</t>
        </is>
      </c>
      <c r="F23" s="3" t="inlineStr">
        <is>
          <t>((DWC_USB3_MDBUS_ACCESS_GT21 == 0) ? 2 : 3)</t>
        </is>
      </c>
      <c r="G23" s="3" t="inlineStr">
        <is>
          <t>(DWC_USB3_MODE == 1 || DWC_USB3_MODE == 2) &amp;&amp; DWC_USB3_MBUS_TYPE!=4</t>
        </is>
      </c>
      <c r="H23" s="3" t="inlineStr">
        <is>
          <t>高速TxFIFO包数。</t>
        </is>
      </c>
    </row>
    <row r="24">
      <c r="A24" s="2" t="n">
        <v>23</v>
      </c>
      <c r="B24" s="3" t="inlineStr">
        <is>
          <t>Size of the Full-Speed/Low- Speed TxFIFO in Number of 1024-byte Packets - Per FS/LS Bus-Instance (1-4)Recommended not to reduce the size from default value. Specifies the size of the Full-Speed/Low-Speed TxFIFO in number of 1024-byte packets per FS/LS Bus-Instance. Each Full-Speed/Low-Speed USB Bus-Instance requires one TxFIFO. For example, if you have 1 FS/LS Bus-Instances and chose 1 for this parameter, then 1024 bytes of RAM is allocated for FS/LS TxFIFO. Sinc e FS ISOC max payload size is 1023, at least 1024 bytes should be allocated for FS/LS TxFIFO. For more information, see the "Memory Requirements" section of the Databook.</t>
        </is>
      </c>
      <c r="C24" s="3" t="inlineStr">
        <is>
          <t>DWC_USB3_NUM_TXF_FSLS_PKTS</t>
        </is>
      </c>
      <c r="D24" s="3" t="inlineStr">
        <is>
          <t>1</t>
        </is>
      </c>
      <c r="E24" s="3" t="inlineStr">
        <is>
          <t>1, ..., 4</t>
        </is>
      </c>
      <c r="F24" s="3" t="inlineStr">
        <is>
          <t>1</t>
        </is>
      </c>
      <c r="G24" s="3" t="inlineStr">
        <is>
          <t>(DWC_USB3_MODE == 1 || DWC_USB3_MODE == 2) &amp;&amp; DWC_USB3_MBUS_TYPE!=4</t>
        </is>
      </c>
      <c r="H24" s="3" t="inlineStr">
        <is>
          <t>全速/低速TxFIFO包数。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Number of USB 3.0 Capable Hub Ports (1-15)</t>
        </is>
      </c>
      <c r="C2" s="3" t="inlineStr">
        <is>
          <t>DWC_USB3_HUB_NUM_U3_PORTS</t>
        </is>
      </c>
      <c r="D2" s="3" t="inlineStr">
        <is>
          <t>4</t>
        </is>
      </c>
      <c r="E2" s="3" t="inlineStr">
        <is>
          <t>1, 2, 3, 4, 5, 6, 7, 8, 9, 10, 11, 12, 13, 14, 15</t>
        </is>
      </c>
      <c r="F2" s="3" t="inlineStr">
        <is>
          <t>4</t>
        </is>
      </c>
      <c r="G2" s="3" t="inlineStr">
        <is>
          <t>DWC_USB3_MODE == 3</t>
        </is>
      </c>
      <c r="H2" s="3" t="inlineStr">
        <is>
          <t>Hub模式下USB 3.0下行端口数量。</t>
        </is>
      </c>
    </row>
    <row r="3">
      <c r="A3" s="2" t="n">
        <v>2</v>
      </c>
      <c r="B3" s="3" t="inlineStr">
        <is>
          <t>Enable Xilinx Serial Flash- RAM/PROM Support</t>
        </is>
      </c>
      <c r="C3" s="3" t="inlineStr">
        <is>
          <t>DWC_USB3_EN_HUB_SFLASH_SUPT</t>
        </is>
      </c>
      <c r="D3" s="3" t="inlineStr">
        <is>
          <t>0</t>
        </is>
      </c>
      <c r="E3" s="3" t="inlineStr">
        <is>
          <t>No (0); Y es (1)</t>
        </is>
      </c>
      <c r="F3" s="3" t="inlineStr">
        <is>
          <t>No</t>
        </is>
      </c>
      <c r="G3" s="3" t="inlineStr">
        <is>
          <t>DWC_USB3_MODE == 3</t>
        </is>
      </c>
      <c r="H3" s="3" t="inlineStr">
        <is>
          <t>是否启用Xilinx串行Flash/PROM加载Hub描述符。Hub描述符需256字节(2048位)空间。</t>
        </is>
      </c>
    </row>
    <row r="4">
      <c r="A4" s="2" t="n">
        <v>3</v>
      </c>
      <c r="B4" s="3" t="inlineStr">
        <is>
          <t>Mac Clock (125MHz) to Xilinx Serial Flash-RAM/PROM Clock Divide Factor</t>
        </is>
      </c>
      <c r="C4" s="3" t="inlineStr">
        <is>
          <t>DWC_USB3_HUB_SFLASH_DIVFACTOR</t>
        </is>
      </c>
      <c r="D4" s="3" t="inlineStr">
        <is>
          <t>16</t>
        </is>
      </c>
      <c r="E4" s="3" t="inlineStr">
        <is>
          <t>4, ..., 128</t>
        </is>
      </c>
      <c r="F4" s="3" t="inlineStr">
        <is>
          <t>16</t>
        </is>
      </c>
      <c r="G4" s="3" t="inlineStr">
        <is>
          <t>DWC_USB3_MODE == 3</t>
        </is>
      </c>
      <c r="H4" s="3" t="inlineStr">
        <is>
          <t>MAC时钟(125MHz)到串行Flash/PROM时钟的分频因子。典型Xilinx串行Flash工作频率范围2.5~20MHz。</t>
        </is>
      </c>
    </row>
    <row r="5">
      <c r="A5" s="2" t="n">
        <v>4</v>
      </c>
      <c r="B5" s="3" t="inlineStr">
        <is>
          <t>Enable JTAG Debug support</t>
        </is>
      </c>
      <c r="C5" s="3" t="inlineStr">
        <is>
          <t>DWC_USB3_JTAG_INTERFACE</t>
        </is>
      </c>
      <c r="D5" s="3" t="inlineStr">
        <is>
          <t>0</t>
        </is>
      </c>
      <c r="E5" s="3" t="inlineStr">
        <is>
          <t>No (0); Y es (1)</t>
        </is>
      </c>
      <c r="F5" s="3" t="inlineStr">
        <is>
          <t>(DWC_USB3_MODE==3)? 1 : 0</t>
        </is>
      </c>
      <c r="G5" s="3" t="inlineStr">
        <is>
          <t>DWC_USB3_MODE ==3</t>
        </is>
      </c>
      <c r="H5" s="3" t="inlineStr">
        <is>
          <t>是否启用JTAG调试接口。</t>
        </is>
      </c>
    </row>
    <row r="6">
      <c r="A6" s="2" t="n">
        <v>5</v>
      </c>
      <c r="B6" s="3" t="n"/>
      <c r="C6" s="3" t="inlineStr">
        <is>
          <t>DWC_USB3_HUB_NUM_RXHEADERS</t>
        </is>
      </c>
      <c r="D6" s="3" t="inlineStr">
        <is>
          <t>4</t>
        </is>
      </c>
      <c r="E6" s="3" t="inlineStr">
        <is>
          <t>4 (4); 8 (8)</t>
        </is>
      </c>
      <c r="F6" s="3" t="inlineStr">
        <is>
          <t>4</t>
        </is>
      </c>
      <c r="G6" s="3" t="inlineStr">
        <is>
          <t>DWC_USB3_MODE ==3</t>
        </is>
      </c>
      <c r="H6" s="3" t="inlineStr">
        <is>
          <t>每个Rx头部缓冲区中的头部数量。</t>
        </is>
      </c>
    </row>
    <row r="7">
      <c r="A7" s="2" t="n">
        <v>6</v>
      </c>
      <c r="B7" s="3" t="inlineStr">
        <is>
          <t>Number of Headers in Each Tx Header Buffer</t>
        </is>
      </c>
      <c r="C7" s="3" t="inlineStr">
        <is>
          <t>DWC_USB3_HUB_NUM_TXHEADERS</t>
        </is>
      </c>
      <c r="D7" s="3" t="inlineStr">
        <is>
          <t>4</t>
        </is>
      </c>
      <c r="E7" s="3" t="inlineStr">
        <is>
          <t>4 (4); 8 (8)</t>
        </is>
      </c>
      <c r="F7" s="3" t="inlineStr">
        <is>
          <t>4</t>
        </is>
      </c>
      <c r="G7" s="3" t="inlineStr">
        <is>
          <t>DWC_USB3_MODE ==3</t>
        </is>
      </c>
      <c r="H7" s="3" t="inlineStr">
        <is>
          <t>每个Tx头部缓冲区中的头部数量。</t>
        </is>
      </c>
    </row>
    <row r="8">
      <c r="A8" s="2" t="n">
        <v>7</v>
      </c>
      <c r="B8" s="3" t="inlineStr">
        <is>
          <t>Number of Packets in Upstream Rx Data Packet Buffer</t>
        </is>
      </c>
      <c r="C8" s="3" t="inlineStr">
        <is>
          <t>DWC_USB3_HUB_NUM_UPSTRMRX_DATAPKTS</t>
        </is>
      </c>
      <c r="D8" s="3" t="inlineStr">
        <is>
          <t>1</t>
        </is>
      </c>
      <c r="E8" s="3" t="inlineStr">
        <is>
          <t>1 (1); 2 (2); 3 (3); 4 (4); 5 (5); 6 (6); 7 (7); 8 (8)</t>
        </is>
      </c>
      <c r="F8" s="3" t="inlineStr">
        <is>
          <t>1</t>
        </is>
      </c>
      <c r="G8" s="3" t="inlineStr">
        <is>
          <t>DWC_USB3_MODE ==3</t>
        </is>
      </c>
      <c r="H8" s="3" t="inlineStr">
        <is>
          <t>上行Rx数据包缓冲区中包的数量。每个包需要1024字节空间。</t>
        </is>
      </c>
    </row>
    <row r="9">
      <c r="A9" s="2" t="n">
        <v>8</v>
      </c>
      <c r="B9" s="3" t="n"/>
      <c r="C9" s="3" t="inlineStr">
        <is>
          <t>DWC_USB3_HUB_NUM_UPSTRMTX_DATAPKTS</t>
        </is>
      </c>
      <c r="D9" s="3" t="inlineStr">
        <is>
          <t>1</t>
        </is>
      </c>
      <c r="E9" s="3" t="inlineStr">
        <is>
          <t>1 (1); 2 (2); 3 (3); 4 (4); 5 (5); 6 (6); 7 (7); 8 (8)</t>
        </is>
      </c>
      <c r="F9" s="3" t="inlineStr">
        <is>
          <t>1</t>
        </is>
      </c>
      <c r="G9" s="3" t="inlineStr">
        <is>
          <t>DWC_USB3_MODE ==3</t>
        </is>
      </c>
      <c r="H9" s="3" t="inlineStr">
        <is>
          <t>上行Tx数据包缓冲区中包的数量。每个包需要1024字节空间。</t>
        </is>
      </c>
    </row>
    <row r="10">
      <c r="A10" s="2" t="n">
        <v>9</v>
      </c>
      <c r="B10" s="3" t="inlineStr">
        <is>
          <t>Depth of the Descriptor ROM or Serial-Flash (in 32-bit Dwords)</t>
        </is>
      </c>
      <c r="C10" s="3" t="inlineStr">
        <is>
          <t>DWC_USB3_HUB_DESC_DEPTH</t>
        </is>
      </c>
      <c r="D10" s="3" t="inlineStr">
        <is>
          <t>64</t>
        </is>
      </c>
      <c r="E10" s="3" t="inlineStr">
        <is>
          <t>64 (64); 128 (128); 256 (256)</t>
        </is>
      </c>
      <c r="F10" s="3" t="inlineStr">
        <is>
          <t>64</t>
        </is>
      </c>
      <c r="G10" s="3" t="inlineStr">
        <is>
          <t>DWC_USB3_MODE ==3</t>
        </is>
      </c>
      <c r="H10" s="3" t="inlineStr">
        <is>
          <t>描述符ROM或串行Flash深度(32位字为单位)。如值64表示256字节(64×4)ROM。</t>
        </is>
      </c>
    </row>
    <row r="11">
      <c r="A11" s="2" t="n">
        <v>10</v>
      </c>
      <c r="B11" s="3" t="inlineStr">
        <is>
          <t>Starting Depth of the SS Descriptors in the ROM or Serial-Flash (in 32-bit Dwords)</t>
        </is>
      </c>
      <c r="C11" s="3" t="inlineStr">
        <is>
          <t>DWC_USB3_HUB_DESC_SS_START_DEPTH</t>
        </is>
      </c>
      <c r="D11" s="3" t="inlineStr">
        <is>
          <t>0</t>
        </is>
      </c>
      <c r="E11" s="3" t="inlineStr">
        <is>
          <t>0 (0); 64 (64); 128 (128)</t>
        </is>
      </c>
      <c r="F11" s="3" t="inlineStr">
        <is>
          <t>0</t>
        </is>
      </c>
      <c r="G11" s="3" t="inlineStr">
        <is>
          <t>DWC_USB3_MODE ==3</t>
        </is>
      </c>
      <c r="H11" s="3" t="inlineStr">
        <is>
          <t>描述符ROM中DWC_usb3核心使用的起始深度。若USB 2.0 Hub和USB 3.0 SS Hub共用ROM，低地址存USB 2.0数据，高地址存SS Hub数据。</t>
        </is>
      </c>
    </row>
    <row r="12">
      <c r="A12" s="2" t="n">
        <v>11</v>
      </c>
      <c r="B12" s="3" t="n"/>
      <c r="C12" s="3" t="inlineStr">
        <is>
          <t>DWC_USB3_HUB_ENABLE_VCI</t>
        </is>
      </c>
      <c r="D12" s="3" t="inlineStr">
        <is>
          <t>0</t>
        </is>
      </c>
      <c r="E12" s="3" t="inlineStr">
        <is>
          <t>Disable (0); Enable (1)</t>
        </is>
      </c>
      <c r="F12" s="3">
        <f> 0</f>
        <v/>
      </c>
      <c r="G12" s="3" t="inlineStr">
        <is>
          <t>DWC_USB3_MODE ==3</t>
        </is>
      </c>
      <c r="H12" s="3" t="inlineStr">
        <is>
          <t>启用供应商控制命令接口(VCI)。使能后Hub不STALL供应商控制命令，而是通过VCI接口传到外部解码。禁用时Hub STALL所有供应商控制命令。</t>
        </is>
      </c>
    </row>
    <row r="13">
      <c r="A13" s="2" t="n">
        <v>12</v>
      </c>
      <c r="B13" s="3" t="inlineStr">
        <is>
          <t>Scrambling</t>
        </is>
      </c>
      <c r="C13" s="3" t="inlineStr">
        <is>
          <t>DWC_USB3_HUB_ENABLE_SCRAMBLING</t>
        </is>
      </c>
      <c r="D13" s="3" t="inlineStr">
        <is>
          <t>0</t>
        </is>
      </c>
      <c r="E13" s="3" t="inlineStr">
        <is>
          <t>Disable (0); Enable (1)</t>
        </is>
      </c>
      <c r="F13" s="3">
        <f> 0</f>
        <v/>
      </c>
      <c r="G13" s="3" t="inlineStr">
        <is>
          <t>DWC_USB3_MODE ==3</t>
        </is>
      </c>
      <c r="H13" s="3" t="inlineStr">
        <is>
          <t>仿真用控制参数。控制Hub测试时加扰的启用/禁用，直接驱动hub_enable_scrambling输入引脚。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row>
    <row r="2">
      <c r="A2" s="2" t="n">
        <v>1</v>
      </c>
      <c r="B2" s="3" t="inlineStr">
        <is>
          <t>Global System Bus Configuration Register-0's (GSBUSCFG0) Power-On Initialization Valu e (0x0-ffffffff)</t>
        </is>
      </c>
      <c r="C2" s="3" t="inlineStr">
        <is>
          <t>DWC_USB3_GSBUSCFG0_INIT</t>
        </is>
      </c>
      <c r="D2" s="3" t="inlineStr">
        <is>
          <t>32'h1</t>
        </is>
      </c>
      <c r="E2" s="3" t="inlineStr">
        <is>
          <t>0x0, ..., 0xffffffff</t>
        </is>
      </c>
      <c r="F2" s="3" t="inlineStr">
        <is>
          <t>0x1</t>
        </is>
      </c>
      <c r="G2" s="3" t="inlineStr">
        <is>
          <t>(DWC_USB3_MODE == 0 || DWC_USB3_MODE == 1 || DWC_USB3_MODE == 2) &amp;&amp; DWC_USB3_MBUS_TYPE!=4</t>
        </is>
      </c>
      <c r="H2" s="3" t="inlineStr">
        <is>
          <t>全局系统总线配置寄存器0(GSBUSCFG0)上电初始值，定义系统总线配置。包含端序控制、写发布、各INCR突发类型使能等位字段。</t>
        </is>
      </c>
    </row>
    <row r="3">
      <c r="A3" s="2" t="n">
        <v>2</v>
      </c>
      <c r="B3" s="3" t="n"/>
      <c r="C3" s="3" t="inlineStr">
        <is>
          <t>DWC_USB3_GSBUSCFG1_INIT</t>
        </is>
      </c>
      <c r="D3" s="3" t="inlineStr">
        <is>
          <t>32'h300</t>
        </is>
      </c>
      <c r="E3" s="3" t="inlineStr">
        <is>
          <t>0x0, ..., 0xffffffff</t>
        </is>
      </c>
      <c r="F3" s="3" t="inlineStr">
        <is>
          <t>0x300</t>
        </is>
      </c>
      <c r="G3" s="3" t="inlineStr">
        <is>
          <t>(DWC_USB3_MODE == 0 || DWC_USB3_MODE == 1 || DWC_USB3_MODE == 2) &amp;&amp; DWC_USB3_MBUS_TYPE!=4</t>
        </is>
      </c>
      <c r="H3" s="3" t="inlineStr">
        <is>
          <t>全局系统总线配置寄存器1(GSBUSCFG1)上电初始值。</t>
        </is>
      </c>
    </row>
    <row r="4">
      <c r="A4" s="2" t="n">
        <v>3</v>
      </c>
      <c r="B4" s="3" t="inlineStr">
        <is>
          <t>Global Device TXFIFO DMA Priority Register's (GTXFIFOPRIDEV) Power-On Initialization Valu e (0x0-ffffffff)</t>
        </is>
      </c>
      <c r="C4" s="3" t="inlineStr">
        <is>
          <t>DWC_USB3_GTXFIFOPRIDEV_INIT</t>
        </is>
      </c>
      <c r="D4" s="3" t="inlineStr">
        <is>
          <t>32'h0</t>
        </is>
      </c>
      <c r="E4" s="3" t="inlineStr">
        <is>
          <t>0x0, ..., 0xffffffff</t>
        </is>
      </c>
      <c r="F4" s="3" t="inlineStr">
        <is>
          <t>0x0</t>
        </is>
      </c>
      <c r="G4" s="3" t="inlineStr">
        <is>
          <t>(DWC_USB3_MODE == 0 || DWC_USB3_MODE == 2) &amp;&amp; DWC_USB3_MBUS_TYPE!=4</t>
        </is>
      </c>
      <c r="H4" s="3" t="inlineStr">
        <is>
          <t>全局设备TxFIFO DMA优先级寄存器(GTXFIFOPRIDEV)上电初始值。每个FIFO可分配高/低轮转DMA优先级：先服务高优先级FIFO，再服务低优先级。</t>
        </is>
      </c>
    </row>
    <row r="5">
      <c r="A5" s="2" t="n">
        <v>4</v>
      </c>
      <c r="B5" s="3" t="n"/>
      <c r="C5" s="3" t="inlineStr">
        <is>
          <t>DWC_USB3_GTXFIFOPRIHST_INIT</t>
        </is>
      </c>
      <c r="D5" s="3" t="inlineStr">
        <is>
          <t>32'h0</t>
        </is>
      </c>
      <c r="E5" s="3" t="inlineStr">
        <is>
          <t>0x0, ..., 0xffffffff</t>
        </is>
      </c>
      <c r="F5" s="3" t="inlineStr">
        <is>
          <t>0x0</t>
        </is>
      </c>
      <c r="G5" s="3" t="inlineStr">
        <is>
          <t>(DWC_USB3_MODE == 1 || DWC_USB3_MODE == 2) &amp;&amp; DWC_USB3_MBUS_TYPE!=4</t>
        </is>
      </c>
      <c r="H5" s="3" t="inlineStr">
        <is>
          <t>全局主机TxFIFO DMA优先级寄存器(GTXFIFOPRIHST)上电初始值。</t>
        </is>
      </c>
    </row>
    <row r="6">
      <c r="A6" s="2" t="n">
        <v>5</v>
      </c>
      <c r="B6" s="3" t="inlineStr">
        <is>
          <t>Global Host RXFIFO DMA Priority Register's (GRXFIFOPRIHST) Power-On Initialization Valu e (0x0-ffffffff)</t>
        </is>
      </c>
      <c r="C6" s="3" t="inlineStr">
        <is>
          <t>DWC_USB3_GRXFIFOPRIHST_INIT</t>
        </is>
      </c>
      <c r="D6" s="3" t="inlineStr">
        <is>
          <t>32'h0</t>
        </is>
      </c>
      <c r="E6" s="3" t="inlineStr">
        <is>
          <t>0x0, ..., 0xffffffff</t>
        </is>
      </c>
      <c r="F6" s="3" t="inlineStr">
        <is>
          <t>0x0</t>
        </is>
      </c>
      <c r="G6" s="3" t="inlineStr">
        <is>
          <t>(DWC_USB3_MODE == 1 || DWC_USB3_MODE == 2) &amp;&amp; DWC_USB3_MBUS_TYPE!=4</t>
        </is>
      </c>
      <c r="H6" s="3" t="inlineStr">
        <is>
          <t>全局主机RxFIFO DMA优先级寄存器(GRXFIFOPRIHST)上电初始值。按速度组(SS BI组和HS/FSLS BI组)分配DMA优先级。</t>
        </is>
      </c>
    </row>
    <row r="7">
      <c r="A7" s="2" t="n">
        <v>6</v>
      </c>
      <c r="B7" s="3" t="n"/>
      <c r="C7" s="3" t="inlineStr">
        <is>
          <t>DWC_USB3_GFIFOPRIDBC_INIT</t>
        </is>
      </c>
      <c r="D7" s="3" t="inlineStr">
        <is>
          <t>32'h0</t>
        </is>
      </c>
      <c r="E7" s="3" t="inlineStr">
        <is>
          <t>0x0, ..., 0xffffffff</t>
        </is>
      </c>
      <c r="F7" s="3" t="inlineStr">
        <is>
          <t>0x0</t>
        </is>
      </c>
      <c r="G7" s="3" t="inlineStr">
        <is>
          <t>(DWC_USB3_MODE == 1 || DWC_USB3_MODE == 2) &amp;&amp; DWC_USB3_MBUS_TYPE!=4 &amp;&amp; DWC_USB3_EN_DBC==1</t>
        </is>
      </c>
      <c r="H7" s="3" t="inlineStr">
        <is>
          <t>全局调试能力FIFO优先级寄存器(GFIFOPRIDBC)上电初始值。</t>
        </is>
      </c>
    </row>
    <row r="8">
      <c r="A8" s="2" t="n">
        <v>7</v>
      </c>
      <c r="B8" s="3" t="inlineStr">
        <is>
          <t>Global Host FIFO DMA High- Low Priority Ratio Register's (GDMAHLRATIO) TX SS:HSFSLS Ratio Power-On Initialization Value (0x0-1f)Specifies the Global Host FIFO DMA High-Low Priority Ratio Register's (GDMAHLRATIO) TX SS:HSFSLS Ratio powe r-on initialization value (bit[4:0]). This register specifies the relative priority of the SS FIFOs vs. the HS+FSLS FIFOs. Specifically, the DMA arbiter prioritizes the HS/FSLS round-robin arbiter group for one packet after the specified number of packet grants to the SS round-robin arbiter group. For more information, see the "GDMAHLRATIO" section in the Databook. If you use a standard driver, such as the xHCI driver from Microsoft, you must initialize this register to meet your sys tem requirements before synthesizing the core. If you are developing your own xHCI host driver, then this register can be configured by your driver.</t>
        </is>
      </c>
      <c r="C8" s="3" t="inlineStr">
        <is>
          <t>DWC_USB3_GDMAHLRATIO_TX_INIT</t>
        </is>
      </c>
      <c r="D8" s="3" t="inlineStr">
        <is>
          <t>8</t>
        </is>
      </c>
      <c r="E8" s="3" t="inlineStr">
        <is>
          <t>0, ..., 31</t>
        </is>
      </c>
      <c r="F8" s="3" t="inlineStr">
        <is>
          <t>DWC_USB3_RX_SS_PRI_CNT</t>
        </is>
      </c>
      <c r="G8" s="3" t="inlineStr">
        <is>
          <t>(DWC_USB3_MODE == 1 || DWC_USB3_MODE == 2) &amp;&amp; DWC_USB3_MBUS_TYPE!=4 &amp;&amp; (D WC_USB3_EN_USB2_ONL Y==0)</t>
        </is>
      </c>
      <c r="H8" s="3" t="inlineStr">
        <is>
          <t>全局DMA高/低优先级比率(Tx)上电初始值。</t>
        </is>
      </c>
    </row>
    <row r="9">
      <c r="A9" s="2" t="n">
        <v>8</v>
      </c>
      <c r="B9" s="3" t="n"/>
      <c r="C9" s="3" t="inlineStr">
        <is>
          <t>DWC_USB3_GDMAHLRATIO_RX_INIT</t>
        </is>
      </c>
      <c r="D9" s="3" t="inlineStr">
        <is>
          <t>8</t>
        </is>
      </c>
      <c r="E9" s="3" t="inlineStr">
        <is>
          <t>0, ..., 31</t>
        </is>
      </c>
      <c r="F9" s="3" t="inlineStr">
        <is>
          <t>DWC_USB3_RX_SS_PRI_CNT</t>
        </is>
      </c>
      <c r="G9" s="3" t="inlineStr">
        <is>
          <t>(DWC_USB3_MODE == 1 || DWC_USB3_MODE == 2) &amp;&amp; DWC_USB3_MBUS_TYPE!=4 &amp;&amp; (D WC_USB3_EN_USB2_ONL Y==0)</t>
        </is>
      </c>
      <c r="H9" s="3" t="inlineStr">
        <is>
          <t>全局DMA高/低优先级比率(Rx)上电初始值。</t>
        </is>
      </c>
    </row>
    <row r="10">
      <c r="A10" s="2" t="n">
        <v>9</v>
      </c>
      <c r="B10" s="3" t="n"/>
      <c r="C10" s="3" t="inlineStr">
        <is>
          <t>DWC_USB3_EN_LPM_ERRATA</t>
        </is>
      </c>
      <c r="D10" s="3" t="inlineStr">
        <is>
          <t>1</t>
        </is>
      </c>
      <c r="E10" s="3" t="inlineStr">
        <is>
          <t>LPM Errata Disable (0); LPM Errata Enable (1)</t>
        </is>
      </c>
      <c r="F10" s="3">
        <f> 1</f>
        <v/>
      </c>
      <c r="G10" s="3" t="inlineStr">
        <is>
          <t>DWC_USB3_MODE !=3</t>
        </is>
      </c>
      <c r="H10" s="3" t="inlineStr">
        <is>
          <t>启用LPM勘误支持。主机模式下设置xHCI能力寄存器BESL支持位，根据BESL值改变恢复时长。设备模式下DCTL寄存器新增字段控制对LPM令牌的ACK/NYET响应。</t>
        </is>
      </c>
    </row>
    <row r="11">
      <c r="A11" s="2" t="n">
        <v>10</v>
      </c>
      <c r="B11" s="3" t="n"/>
      <c r="C11" s="3" t="inlineStr">
        <is>
          <t>DWC_USB3_DEV_EN_SCATTER_PACKETS_OF_8_TO_15_TRBS</t>
        </is>
      </c>
      <c r="D11" s="3" t="inlineStr">
        <is>
          <t>1</t>
        </is>
      </c>
      <c r="E11" s="3" t="inlineStr">
        <is>
          <t>No (0); Y es (1)</t>
        </is>
      </c>
      <c r="F11" s="3" t="inlineStr">
        <is>
          <t>(DWC_USB3_EN_DBC==1) ? 1: 0</t>
        </is>
      </c>
      <c r="G11" s="3" t="inlineStr">
        <is>
          <t>(DWC_USB3_EN_DBC==1) || ((DWC_USB3_MODE==0 || DWC_USB3_MODE==2) &amp;&amp; DWC_USB3_MBUS_TYPE!=4 &amp;&amp; DWC_USB3_CACHE_TRBS_PER_TRANSFER &gt; (7 + (DWC_USB3_MDWIDTH==128)))</t>
        </is>
      </c>
      <c r="H11" s="3" t="inlineStr">
        <is>
          <t>启用由8~15个TRB组成的分散聚合包(若MDWIDTH==128则9~15个TRB)。推荐启用(未来版本将移除仅支持7个TRB的选项)。影响RXQ和TXQ FIFO深度。</t>
        </is>
      </c>
    </row>
    <row r="12">
      <c r="A12" s="2" t="n">
        <v>11</v>
      </c>
      <c r="B12" s="3" t="inlineStr">
        <is>
          <t>Information - Device minimum ram_clk frequency (MHz) for full performance</t>
        </is>
      </c>
      <c r="C12" s="3" t="inlineStr">
        <is>
          <t>DWC_USB3_DEV_RAM_CLK_FREQ_PERF</t>
        </is>
      </c>
      <c r="D12" s="3" t="inlineStr">
        <is>
          <t>125</t>
        </is>
      </c>
      <c r="E12" s="3" t="inlineStr">
        <is>
          <t>-2147483648, ..., 2147483647</t>
        </is>
      </c>
      <c r="F12" s="3" t="inlineStr">
        <is>
          <t>(DWC_USB3_DEV_RAM_CLK_FREQ_T URNAROUND&gt;((DWC_USB3_LSP_SHA RED_RAM_FREQ_PERF+DWC_USB3_DEV_CLK_FREQ_RXDATA)+(((DWC_USB3_SPRAM_TYP==1)&amp;&amp;(DWC_USB3_E N_USB2_ONLY==0))?DWC_USB3_DEV _CLK_FREQ_RXDATA:0)))?DWC_U SB3_DEV_RAM_CLK_FREQ_TURNAROUN D:((DWC_USB3_LSP_SHARED_RAM_F REQ_PERF+DWC_USB3_DEV_CLK_FR EQ_RXDATA)+(((DWC_USB3_SPRAM_T YP==1)&amp;&amp;(DWC_USB3_EN_USB2_ONL Y==0))?DWC_USB3_DEV_CLK_FREQ_RXDATA:0))</t>
        </is>
      </c>
      <c r="G12" s="3" t="inlineStr">
        <is>
          <t>0</t>
        </is>
      </c>
      <c r="H12" s="3" t="inlineStr">
        <is>
          <t>只读信息性参数，定义设备模式达到全带宽所需的最小ram_clk频率。取决于SS/HS模式、MDWIDTH、RAM数量和RAM类型。</t>
        </is>
      </c>
    </row>
    <row r="13">
      <c r="A13" s="2" t="n">
        <v>12</v>
      </c>
      <c r="B13" s="3" t="n"/>
      <c r="C13" s="3" t="inlineStr">
        <is>
          <t>DWC_USB3_DEV_RAM_CLK_FREQ_FUNC</t>
        </is>
      </c>
      <c r="D13" s="3" t="inlineStr">
        <is>
          <t>125</t>
        </is>
      </c>
      <c r="E13" s="3" t="inlineStr">
        <is>
          <t>-2147483648, ..., 2147483647</t>
        </is>
      </c>
      <c r="F13" s="3" t="inlineStr">
        <is>
          <t>(DWC_USB3_DEV_RAM_CLK_FREQ_TURNAROUND&gt;(DWC_USB3_LSP_SHARED_RAM_FREQ_FUNC+DWC_USB3_DEV_ CLK_FREQ_RXDATA))?DWC_USB 3_DEV_RAM_CLK_FREQ_TURNAROUND:(DWC_USB3_LSP_SHARED_RAM_FREQ_FUNC+DWC_USB3_DEV_CLK_FREQ_RXDATA)</t>
        </is>
      </c>
      <c r="G13" s="3" t="inlineStr">
        <is>
          <t>0</t>
        </is>
      </c>
      <c r="H13" s="3" t="inlineStr">
        <is>
          <t>只读信息性参数，定义设备模式功能运行所需的最小ram_clk频率。</t>
        </is>
      </c>
    </row>
    <row r="14">
      <c r="A14" s="2" t="n">
        <v>13</v>
      </c>
      <c r="B14" s="3" t="n"/>
      <c r="C14" s="3" t="inlineStr">
        <is>
          <t>DWC_USB3_HOST_RAM_CLK_FREQ_PERF</t>
        </is>
      </c>
      <c r="D14" s="3" t="inlineStr">
        <is>
          <t>157</t>
        </is>
      </c>
      <c r="E14" s="3" t="inlineStr">
        <is>
          <t>-2147483648, ..., 2147483647</t>
        </is>
      </c>
      <c r="F14" s="3" t="inlineStr">
        <is>
          <t>(DWC_USB3_HOST_RAM_CLK_FREQ_F IFOLATENCY&gt;((((DWC_USB3_LSP_S HARED_RAM_FREQ_PERF+DWC_USB3_HOST_CLK_FREQ_RXDATA)+(((DWC_USB3_SPRAM_TYP==1)&amp;&amp;(DWC_USB 3_EN_USB2_ONLY==0))?DWC_USB3_ HOST_CLK_FREQ_RXDATA:0))&gt;(DWC_ USB3_HOST_RAM_CLK_FREQ_TXDAT A+(((DWC_USB3_SPRAM_TYP==1)&amp;&amp;(DW C_USB3_EN_USB2_ONLY==0))?DW C_USB3_HOST_CLK_FREQ_RXDATA:0 )))?((DWC_USB3_LSP_SHARED_RAM_ FREQ_PERF+DWC_USB3_HOST_CLK_FR EQ_RXDATA)+(((DWC_USB3_SPRA M_TYP==1)&amp;&amp;(DWC_USB3_EN_USB2_O NLY==0))?DWC_USB3_HOST_CLK_F REQ_RXDATA:0)):(DWC_USB3_HOST_ RAM_CLK_FREQ_TXDATA+(((DWC_USB 3_SPRAM_TYP==1)&amp;&amp;(DWC_USB3_EN_ USB2_ONLY==0))?DWC_USB3_HOST _CLK_FREQ_RXDATA:0))))?DWC_USB3 _HOST_RAM_CLK_FREQ_FIFOLATEN CY:((((DWC_USB3_LSP_SHARED_RAM _FREQ_PERF+DWC_USB3_HOST_CL K_FREQ_RXDATA)+(((DWC_USB3_SPR AM_TYP==1)&amp;&amp;(DWC_USB3_EN_USB2 _ONL Y==0))?DWC_USB3_H OST_CLK_FREQ_RXDATA:0))&gt;(DWC_USB3_HOST _RAM_CLK_FREQ_TXDATA+(((DWC_USB3_SPRAM_TYP==1)&amp;&amp;(DWC_USB3_EN_USB2_ONL Y==0))?DWC_USB3_HOST _CLK_FREQ_RXDATA:0)))?((DWC_U SB3_LSP_SHARED_RAM_FREQ_PERF+DWC_USB3_HOST_CLK_FREQ_RXDATA)+(((DWC_USB3_SPRAM_TYP==1) &amp;&amp;(DWC_USB3_EN_USB2_ONL Y==0))? DWC_USB3_HOST_CLK_FREQ_RXDATA: 0)):(DWC_USB3_HOST_RAM_CLK_F REQ_TXDATA+(((DWC_USB3_SPRAM_T YP==1)&amp;&amp;(DWC_USB3_EN_USB2_ON L Y==0))?DWC_USB3_HOST_ CLK_FREQ_RXDATA:0)))</t>
        </is>
      </c>
      <c r="G14" s="3" t="inlineStr">
        <is>
          <t>0</t>
        </is>
      </c>
      <c r="H14" s="3" t="inlineStr">
        <is>
          <t>只读信息性参数，定义主机模式达到全带宽所需的最小ram_clk频率。</t>
        </is>
      </c>
    </row>
    <row r="15">
      <c r="A15" s="2" t="n">
        <v>14</v>
      </c>
      <c r="B15" s="3" t="n"/>
      <c r="C15" s="3" t="inlineStr">
        <is>
          <t>DWC_USB3_HOST_RAM_CLK_FREQ_FUNC</t>
        </is>
      </c>
      <c r="D15" s="3" t="inlineStr">
        <is>
          <t>157</t>
        </is>
      </c>
      <c r="E15" s="3" t="inlineStr">
        <is>
          <t>-2147483648, ..., 2147483647</t>
        </is>
      </c>
      <c r="F15" s="3" t="inlineStr">
        <is>
          <t>(DWC_USB3_HOST_RAM_CLK_FREQ_F IFOLATENCY&gt;(((DWC_USB3_LSP_SH ARED_RAM_FREQ_FUNC+DWC_USB3_HOST_CLK_FREQ_RXDATA)&gt;DWC_USB3_HOST_RAM_CLK_FREQ_TXDATA) ?(DWC_USB3_LSP_SHARED_RAM_FR EQ_FUNC+DWC_USB3_HOST_CLK_FREQ _RXDATA):DWC_USB3_HOST_RAM _CLK_FREQ_TXDATA))?DWC_USB3_HOST_RAM_CLK_FREQ_FIFOLATENCY:(((DWC_USB3_LSP_SHARED_RAM_FREQ_FUNC+DWC_USB3_HOST_CLK_FREQ_RXDATA)&gt;DWC_USB3_HOST_RAM_ CLK_FREQ_TXDATA)?(DWC_USB3_L SP_SHARED_RAM_FREQ_FUNC+DWC_USB3_HOST_CLK_FREQ_RXDATA):DWC_USB3_HOST_RAM_CLK_FREQ_TXDATA)</t>
        </is>
      </c>
      <c r="G15" s="3" t="inlineStr">
        <is>
          <t>DWC_USB3_MODE==1 || DWC_USB3_MODE==2</t>
        </is>
      </c>
      <c r="H15" s="3" t="inlineStr">
        <is>
          <t>只读信息性参数，定义主机模式功能运行所需的最小ram_clk频率。</t>
        </is>
      </c>
    </row>
    <row r="16">
      <c r="A16" s="2" t="n">
        <v>15</v>
      </c>
      <c r="B16" s="3" t="inlineStr">
        <is>
          <t>Information - Default Device RAM0 Cache Depth</t>
        </is>
      </c>
      <c r="C16" s="3" t="inlineStr">
        <is>
          <t>DWC_USB3_DCACHE_DEPTH_DEV</t>
        </is>
      </c>
      <c r="D16" s="3" t="inlineStr">
        <is>
          <t>2256</t>
        </is>
      </c>
      <c r="E16" s="3" t="inlineStr">
        <is>
          <t>32, ..., 65536</t>
        </is>
      </c>
      <c r="F16" s="3" t="inlineStr">
        <is>
          <t>(((DWC_USB3_ADDR_CACHE_STREAM S+DWC_USB3_CACHE_STREAMS_DE PTH)+DWC_USB3_MBYTES)-1)&gt;&gt;DWC_USB3_MADDR_LO</t>
        </is>
      </c>
      <c r="G16" s="3" t="inlineStr">
        <is>
          <t>0</t>
        </is>
      </c>
      <c r="H16" s="3" t="inlineStr">
        <is>
          <t>只读信息性参数，定义设备模式最小缓存深度需求。</t>
        </is>
      </c>
    </row>
    <row r="17">
      <c r="A17" s="2" t="n">
        <v>16</v>
      </c>
      <c r="B17" s="3" t="inlineStr">
        <is>
          <t>Information - Default Host RAM0 Cache Depth</t>
        </is>
      </c>
      <c r="C17" s="3" t="inlineStr">
        <is>
          <t>DWC_USB3_DCACHE_DEPTH_HST</t>
        </is>
      </c>
      <c r="D17" s="3" t="inlineStr">
        <is>
          <t>3584</t>
        </is>
      </c>
      <c r="E17" s="3" t="inlineStr">
        <is>
          <t>32, ..., 65536</t>
        </is>
      </c>
      <c r="F17" s="3" t="inlineStr">
        <is>
          <t>(((DWC_USB3_DBCACHE_ADDR+(DWC _USB3_EN_DBC?DWC_USB3_DBCAC HE_SIZE:0))+DWC_USB3_MBYTES)-1)&gt;&gt;DWC_USB3_MADDR_LO</t>
        </is>
      </c>
      <c r="G17" s="3" t="inlineStr">
        <is>
          <t>0</t>
        </is>
      </c>
      <c r="H17" s="3" t="inlineStr">
        <is>
          <t>只读信息性参数，定义主机模式最小缓存深度需求。</t>
        </is>
      </c>
    </row>
    <row r="18">
      <c r="A18" s="2" t="n">
        <v>17</v>
      </c>
      <c r="B18" s="3" t="n"/>
      <c r="C18" s="3" t="inlineStr">
        <is>
          <t>DWC_USB3_DCACHE_DEPTH_INFO</t>
        </is>
      </c>
      <c r="D18" s="3" t="inlineStr">
        <is>
          <t>3584</t>
        </is>
      </c>
      <c r="E18" s="3" t="inlineStr">
        <is>
          <t>32, ..., (262144 / (DWC_USB3_MDWIDTH / 8))</t>
        </is>
      </c>
      <c r="F18" s="3" t="inlineStr">
        <is>
          <t>DWC_USB3_DCACHE_DEPTH</t>
        </is>
      </c>
      <c r="G18" s="3" t="inlineStr">
        <is>
          <t>0</t>
        </is>
      </c>
      <c r="H18" s="3" t="inlineStr">
        <is>
          <t>只读信息性参数，定义缓存深度信息。</t>
        </is>
      </c>
    </row>
    <row r="19">
      <c r="A19" s="2" t="n">
        <v>18</v>
      </c>
      <c r="B19" s="3" t="inlineStr">
        <is>
          <t>Information - Default Device RAM0/RAM1 TxFIFO Depth</t>
        </is>
      </c>
      <c r="C19" s="3" t="inlineStr">
        <is>
          <t>DWC_USB3_DEV_TXF_ALL_DEPTH</t>
        </is>
      </c>
      <c r="D19" s="3" t="inlineStr">
        <is>
          <t>4249</t>
        </is>
      </c>
      <c r="E19" s="3" t="inlineStr">
        <is>
          <t>32, ..., 65536</t>
        </is>
      </c>
      <c r="F19" s="3" t="inlineStr">
        <is>
          <t>((((((((((((((DWC_USB3_DEV_TXF0_D EPTH+DWC_USB3_DEV_TXF1_DEPTH)+ DWC_USB3_DEV_TXF2_DEPTH)+DWC_USB3_DEV_TXF3_DEPTH)+DWC_USB3_DEV_TXF4_DEPTH)+DWC_USB3_D EV_TXF5_DEPTH)+DWC_USB3_DEV_ TXF6_DEPTH)+DWC_USB3_DEV_TXF7_DEPTH)+DWC_USB3_DEV_TXF8_DEPTH)+DWC_USB3_DEV_TXF9_DEPTH) +DWC_USB3_DEV_TXF10_DEPTH)+D WC_USB3_DEV_TXF11_DEPTH)+DWC_USB3_DEV_TXF12_DEPTH)+DWC_USB3_DEV_TXF13_DEPTH)+DWC_USB3_DEV_TXF14_DEPTH)+DWC_USB3_DEV_TXF15_DEPTH</t>
        </is>
      </c>
      <c r="G19" s="3" t="inlineStr">
        <is>
          <t>0</t>
        </is>
      </c>
      <c r="H19" s="3" t="inlineStr">
        <is>
          <t>只读信息性参数，定义设备模式最小TxFIFO总深度需求。</t>
        </is>
      </c>
    </row>
    <row r="20">
      <c r="A20" s="2" t="n">
        <v>19</v>
      </c>
      <c r="B20" s="3" t="inlineStr">
        <is>
          <t>Information - Default Host RAM0/RAM1 TxFIFO Depth</t>
        </is>
      </c>
      <c r="C20" s="3" t="inlineStr">
        <is>
          <t>DWC_USB3_HOST_TXF_ALL_DEPTH</t>
        </is>
      </c>
      <c r="D20" s="3" t="inlineStr">
        <is>
          <t>1802</t>
        </is>
      </c>
      <c r="E20" s="3" t="inlineStr">
        <is>
          <t>32, ..., 65536</t>
        </is>
      </c>
      <c r="F20" s="3" t="inlineStr">
        <is>
          <t>((((DWC_USB3_NUM_FSLS_USB_INSTA NCES*DWC_USB3_HOST_TXFIFO_DE PTH_PER_FSLS_INSTANCE)+(DWC_U SB3_NUM_HS_USB_INSTANCES*DWC_ USB3_HOST_TXFIFO_DEPTH_PER_HS_ INSTANCE))+(DWC_USB3_NUM_SS_ USB_INSTANCES_ACTIVE*DWC_USB3_HOST_TXFIFO_DEPTH_PER_SS_INSTANCE))+(DWC_USB3_EN_DBC_SRCSNK*DWC_USB3_DBC_EP1_TXF_DEPTH))+(DWC_USB3_EN_DBC*DWC_USB3_DBC_EP0_TXF_DEPTH)</t>
        </is>
      </c>
      <c r="G20" s="3" t="inlineStr">
        <is>
          <t>0</t>
        </is>
      </c>
      <c r="H20" s="3" t="inlineStr">
        <is>
          <t>只读信息性参数，定义主机模式最小TxFIFO总深度需求。</t>
        </is>
      </c>
    </row>
    <row r="21">
      <c r="A21" s="2" t="n">
        <v>20</v>
      </c>
      <c r="B21" s="3" t="n"/>
      <c r="C21" s="3" t="inlineStr">
        <is>
          <t>DWC_USB3_TXF_ALL_DEPTH</t>
        </is>
      </c>
      <c r="D21" s="3" t="inlineStr">
        <is>
          <t>4249</t>
        </is>
      </c>
      <c r="E21" s="3" t="inlineStr">
        <is>
          <t>32, ..., 65536</t>
        </is>
      </c>
      <c r="F21" s="3" t="inlineStr">
        <is>
          <t>(DWC_USB3_MODE==0)?DWC_USB3_DEV_TXF_ALL_DEPTH:((DWC_USB3_MODE==1)?DWC_USB3_HOS T_TXF_ALL_DEPTH:((DW C_USB3_DEV_TXF_ALL_ DEPTH&gt;DWC_USB3_HOST_TXF_ALL_DEPTH)?DWC_USB3_DEV_TXF_ALL_DEPTH:DWC_USB3_HOST_TXF_ALL_DEPTH))</t>
        </is>
      </c>
      <c r="G21" s="3" t="inlineStr">
        <is>
          <t>0</t>
        </is>
      </c>
      <c r="H21" s="3" t="inlineStr">
        <is>
          <t>只读信息性参数，定义设备/主机/DRD模式最小TxFIFO总深度需求。DRD模式取两者较大值。</t>
        </is>
      </c>
    </row>
    <row r="22">
      <c r="A22" s="2" t="n">
        <v>21</v>
      </c>
      <c r="B22" s="3" t="inlineStr">
        <is>
          <t>Information - Default Device RAM0/RAM2 RxFIFO Depth</t>
        </is>
      </c>
      <c r="C22" s="3" t="inlineStr">
        <is>
          <t>DWC_USB3_DEV_RXF_DEPTH_DEFAULT</t>
        </is>
      </c>
      <c r="D22" s="3" t="inlineStr">
        <is>
          <t>778</t>
        </is>
      </c>
      <c r="E22" s="3" t="inlineStr">
        <is>
          <t>32, ..., 65536</t>
        </is>
      </c>
      <c r="F22" s="3" t="inlineStr">
        <is>
          <t>DWC_USB3_DEV_RXF_DEPTH</t>
        </is>
      </c>
      <c r="G22" s="3" t="inlineStr">
        <is>
          <t>0</t>
        </is>
      </c>
      <c r="H22" s="3" t="inlineStr">
        <is>
          <t>只读信息性参数，定义设备模式最小RxFIFO深度需求。</t>
        </is>
      </c>
    </row>
    <row r="23">
      <c r="A23" s="2" t="n">
        <v>22</v>
      </c>
      <c r="B23" s="3" t="inlineStr">
        <is>
          <t>Information - Default Host RAM0/RAM2 RxFIFO Depth</t>
        </is>
      </c>
      <c r="C23" s="3" t="inlineStr">
        <is>
          <t>DWC_USB3_HOST_RXF_ALL_DEPTH</t>
        </is>
      </c>
      <c r="D23" s="3" t="inlineStr">
        <is>
          <t>1552</t>
        </is>
      </c>
      <c r="E23" s="3" t="inlineStr">
        <is>
          <t>32, ..., 65536</t>
        </is>
      </c>
      <c r="F23" s="3" t="inlineStr">
        <is>
          <t>(((DWC_USB3_NUM_FSLS_ USB_INSTANCES*DWC_USB3_HOST_RXFIFO_DE PTH_PER_FSLS_INSTANCE)+(DWC_U SB3_NUM_HS_USB_INSTANCES*DWC_ USB3_HOST_RXFIFO_DEPTH_PER_HS_ INSTANCE))+(DWC_USB3_NUM_SS_ USB_INSTANCES_ACTIVE*DWC_USB 3_HOST_RXFIFO_DEPTH_PER_SS_INS TANCE))+(DWC_USB3_EN_DBC_SRCSNK*DWC_USB3_DBC_RXF_DEPTH)</t>
        </is>
      </c>
      <c r="G23" s="3" t="inlineStr">
        <is>
          <t>0</t>
        </is>
      </c>
      <c r="H23" s="3" t="inlineStr">
        <is>
          <t>只读信息性参数，定义主机模式最小RxFIFO总深度需求。</t>
        </is>
      </c>
    </row>
    <row r="24">
      <c r="A24" s="2" t="n">
        <v>23</v>
      </c>
      <c r="B24" s="3" t="inlineStr">
        <is>
          <t>Default Information - Device/Host/DRD RAM0/RAM2 RxFIFO Depth</t>
        </is>
      </c>
      <c r="C24" s="3" t="inlineStr">
        <is>
          <t>DWC_USB3_RXF_ALL_DEPTH</t>
        </is>
      </c>
      <c r="D24" s="3" t="inlineStr">
        <is>
          <t>1552</t>
        </is>
      </c>
      <c r="E24" s="3" t="inlineStr">
        <is>
          <t>32, ..., 65536</t>
        </is>
      </c>
      <c r="F24" s="3" t="inlineStr">
        <is>
          <t>(DWC_USB3_MODE==0)?DWC_USB3_D EV_RXF_DEPTH:((DWC_USB3_MODE ==1)?DWC_USB3_HOST_RXF_ALL_D EPTH:((DWC_USB3_DEV_RXF_DEPTH&gt; DWC_USB3_HOST_RXF_ALL_DEPTH) ?DWC_USB3_DEV_RXF_DEPTH:DWC_ USB3_HOST_RXF_ALL_DEPTH))</t>
        </is>
      </c>
      <c r="G24" s="3" t="inlineStr">
        <is>
          <t>0</t>
        </is>
      </c>
      <c r="H24" s="3" t="inlineStr">
        <is>
          <t>只读信息性参数，定义设备/主机/DRD模式最小RxFIFO总深度需求。DRD模式取两者较大值。</t>
        </is>
      </c>
    </row>
    <row r="25">
      <c r="A25" s="2" t="n">
        <v>24</v>
      </c>
      <c r="B25" s="3" t="n"/>
      <c r="C25" s="3" t="inlineStr">
        <is>
          <t>DWC_USB3_RAM0_DEPTH</t>
        </is>
      </c>
      <c r="D25" s="3" t="inlineStr">
        <is>
          <t>3584</t>
        </is>
      </c>
      <c r="E25" s="3" t="inlineStr">
        <is>
          <t>32, ..., 65536</t>
        </is>
      </c>
      <c r="F25" s="3" t="inlineStr">
        <is>
          <t>DWC_USB3_RAM0_DEPTH_DEFAULT</t>
        </is>
      </c>
      <c r="G25" s="3" t="inlineStr">
        <is>
          <t>Always</t>
        </is>
      </c>
      <c r="H25" s="3" t="inlineStr">
        <is>
          <t>RAM0深度。系统延迟较大时选择更大FIFO大小。Hub配置下RAM0包含Hub描述符和上行Tx数据包。包含包空间及状态信息、时钟域同步开销字节。</t>
        </is>
      </c>
    </row>
    <row r="26">
      <c r="A26" s="2" t="n">
        <v>25</v>
      </c>
      <c r="B26" s="3" t="n"/>
      <c r="C26" s="3" t="inlineStr">
        <is>
          <t>DWC_USB3_RAM1_DEPTH</t>
        </is>
      </c>
      <c r="D26" s="3" t="inlineStr">
        <is>
          <t>4249</t>
        </is>
      </c>
      <c r="E26" s="3" t="inlineStr">
        <is>
          <t>0, ..., 65536</t>
        </is>
      </c>
      <c r="F26" s="3" t="inlineStr">
        <is>
          <t>DWC_USB3_RAM1_DEPTH_DEFAULT</t>
        </is>
      </c>
      <c r="G26" s="3" t="inlineStr">
        <is>
          <t>DWC_USB3_NUM_RAMS &gt; 1</t>
        </is>
      </c>
      <c r="H26" s="3" t="inlineStr">
        <is>
          <t>RAM1深度。设备模式下为所有IN端点TxFIFO总和。Hub配置下RAM1包含上行Rx数据包。系统延迟较大时选择更大FIFO大小。</t>
        </is>
      </c>
    </row>
    <row r="27">
      <c r="A27" s="2" t="n">
        <v>26</v>
      </c>
      <c r="B27" s="3" t="n"/>
      <c r="C27" s="3" t="inlineStr">
        <is>
          <t>DWC_USB3_RAM2_DEPTH</t>
        </is>
      </c>
      <c r="D27" s="3" t="inlineStr">
        <is>
          <t>1552</t>
        </is>
      </c>
      <c r="E27" s="3" t="inlineStr">
        <is>
          <t>0, ..., 65536</t>
        </is>
      </c>
      <c r="F27" s="3" t="inlineStr">
        <is>
          <t>DWC_USB3_RAM2_DEPTH_DEFAULT</t>
        </is>
      </c>
      <c r="G27" s="3" t="inlineStr">
        <is>
          <t>DWC_USB3_NUM_RAMS &gt; 2 &amp;&amp; DWC_USB3_MODE !=3</t>
        </is>
      </c>
      <c r="H27" s="3" t="inlineStr">
        <is>
          <t>RAM2深度。主机模式下为SS/HS/FS-LS Rx数据缓冲总和。系统延迟较大时选择更大FIFO大小。</t>
        </is>
      </c>
    </row>
    <row r="28">
      <c r="A28" s="2" t="n">
        <v>27</v>
      </c>
      <c r="B28" s="3" t="inlineStr">
        <is>
          <t>Preserve logic_analyzer_trace mux select during reset for hardware debug</t>
        </is>
      </c>
      <c r="C28" s="3" t="inlineStr">
        <is>
          <t>DWC_USB3_PRESERVE_LOGIC_ANALYZER_SELECT</t>
        </is>
      </c>
      <c r="D28" s="3" t="inlineStr">
        <is>
          <t>1</t>
        </is>
      </c>
      <c r="E28" s="3" t="inlineStr">
        <is>
          <t>No (0); Y es (1)</t>
        </is>
      </c>
      <c r="F28" s="3" t="inlineStr">
        <is>
          <t>No</t>
        </is>
      </c>
      <c r="G28" s="3" t="inlineStr">
        <is>
          <t>DWC_USB3_MODE !=3</t>
        </is>
      </c>
      <c r="H28" s="3" t="inlineStr">
        <is>
          <t>使能后断开GDBGLSPMUX寄存器的复位信号，使逻辑分析仪跟踪复用器选择在复位期间保持值。用于跨休眠复位的调试信号分析。</t>
        </is>
      </c>
    </row>
    <row r="29">
      <c r="A29" s="2" t="n">
        <v>28</v>
      </c>
      <c r="B29" s="3" t="n"/>
      <c r="C29" s="3" t="inlineStr">
        <is>
          <t>DWC_USB3_EN_FPGA</t>
        </is>
      </c>
      <c r="D29" s="3" t="inlineStr">
        <is>
          <t>0</t>
        </is>
      </c>
      <c r="E29" s="3" t="inlineStr">
        <is>
          <t>No (0); Y es (1)</t>
        </is>
      </c>
      <c r="F29" s="3" t="inlineStr">
        <is>
          <t>No</t>
        </is>
      </c>
      <c r="G29" s="3" t="inlineStr">
        <is>
          <t>DWC_USB3_MODE !=3</t>
        </is>
      </c>
      <c r="H29" s="3" t="inlineStr">
        <is>
          <t>启用FPGA实现优化。Synopsys用于FPGA设备/主机硬件验证。ASIC不建议启用。通过增加流水线寄存器改善FPGA时序，但缓存/Rx/Tx内存访问增加1时钟延迟。</t>
        </is>
      </c>
    </row>
    <row r="30">
      <c r="A30" s="2" t="n">
        <v>29</v>
      </c>
      <c r="B30" s="3" t="n"/>
      <c r="C30" s="3" t="inlineStr">
        <is>
          <t>DWC_USB3_EN_LOG_PHYS_EP_SUPT</t>
        </is>
      </c>
      <c r="D30" s="3" t="inlineStr">
        <is>
          <t>1</t>
        </is>
      </c>
      <c r="E30" s="3" t="inlineStr">
        <is>
          <t>No (0); Y es (1)</t>
        </is>
      </c>
      <c r="F30" s="3" t="inlineStr">
        <is>
          <t>Ye s</t>
        </is>
      </c>
      <c r="G30" s="3" t="inlineStr">
        <is>
          <t>DWC_USB3_MODE != 1 &amp;&amp; DWC_USB3_MODE !=3 &amp;&amp; DWC_USB3_MBUS_TYPE!=4</t>
        </is>
      </c>
      <c r="H30" s="3" t="inlineStr">
        <is>
          <t>启用逻辑端点到物理端点灵活映射。Synopsys用于FPGA验证，ASIC不建议启用。禁用时映射固定(减少约5K门)，启用时软件可灵活配置。</t>
        </is>
      </c>
    </row>
    <row r="31">
      <c r="A31" s="2" t="n">
        <v>30</v>
      </c>
      <c r="B31" s="3" t="n"/>
      <c r="C31" s="3" t="inlineStr">
        <is>
          <t>DWC_USB3_ATSPEED_DFT</t>
        </is>
      </c>
      <c r="D31" s="3" t="inlineStr">
        <is>
          <t>0</t>
        </is>
      </c>
      <c r="E31" s="3" t="inlineStr">
        <is>
          <t>No (0); Y es (1)</t>
        </is>
      </c>
      <c r="F31" s="3" t="inlineStr">
        <is>
          <t>No</t>
        </is>
      </c>
      <c r="G31" s="3" t="inlineStr">
        <is>
          <t>DWC_USB3_MODE !=3 &amp;&amp; DWC_USB3_MBUS_TYPE!=4</t>
        </is>
      </c>
      <c r="H31" s="3" t="inlineStr">
        <is>
          <t>启用额外的DFT(可测试性设计)控制端口。添加额外dft_*端口控制时钟。不论此参数是否启用，DWC_usb3核心默认支持At-Speed DFT。</t>
        </is>
      </c>
    </row>
    <row r="32">
      <c r="A32" s="2" t="n">
        <v>31</v>
      </c>
      <c r="B32" s="3" t="inlineStr">
        <is>
          <t>Enable Filter for VBUS and ID related control inputs from the PHY</t>
        </is>
      </c>
      <c r="C32" s="3" t="inlineStr">
        <is>
          <t>DWC_USB3_EN_BUS_FILTERS</t>
        </is>
      </c>
      <c r="D32" s="3" t="inlineStr">
        <is>
          <t>1</t>
        </is>
      </c>
      <c r="E32" s="3" t="inlineStr">
        <is>
          <t>No (0); Y es (1)</t>
        </is>
      </c>
      <c r="F32" s="3">
        <f> 0</f>
        <v/>
      </c>
      <c r="G32" s="3" t="inlineStr">
        <is>
          <t>DWC_USB3_MODE !=3</t>
        </is>
      </c>
      <c r="H32" s="3" t="inlineStr">
        <is>
          <t>启用UTMI/ULPI信号和PIPE3 PowerControl输入的总线滤波器。每个滤波器在DWC_usb3_filter.v中用5ms计数器实现。若PHY已有滤波去抖则不必启用。</t>
        </is>
      </c>
    </row>
    <row r="33">
      <c r="A33" s="2" t="n">
        <v>32</v>
      </c>
      <c r="B33" s="3" t="n"/>
      <c r="C33" s="3" t="inlineStr">
        <is>
          <t>DWC_USB3_EN_PMU_FILTER</t>
        </is>
      </c>
      <c r="D33" s="3" t="inlineStr">
        <is>
          <t>1</t>
        </is>
      </c>
      <c r="E33" s="3" t="inlineStr">
        <is>
          <t>No (0); Y es (1)</t>
        </is>
      </c>
      <c r="F33" s="3">
        <f> 0</f>
        <v/>
      </c>
      <c r="G33" s="3" t="inlineStr">
        <is>
          <t>DWC_USB3_EN_PWROPT ==2</t>
        </is>
      </c>
      <c r="H33" s="3" t="inlineStr">
        <is>
          <t>在PMU模块中启用UTMI和过流相关输入信号的简易滤波器。仅在休眠(DWC_usb3断电)期间使用。</t>
        </is>
      </c>
    </row>
    <row r="34">
      <c r="A34" s="2" t="n">
        <v>33</v>
      </c>
      <c r="B34" s="3" t="inlineStr">
        <is>
          <t>PIPE Interface is always 32- bit</t>
        </is>
      </c>
      <c r="C34" s="3" t="inlineStr">
        <is>
          <t>DWC_USB3_PIPE_32BIT_ONL</t>
        </is>
      </c>
      <c r="D34" s="3" t="inlineStr">
        <is>
          <t>1</t>
        </is>
      </c>
      <c r="E34" s="3" t="inlineStr">
        <is>
          <t>No (0); Y es (1)</t>
        </is>
      </c>
      <c r="F34" s="3" t="inlineStr">
        <is>
          <t>No</t>
        </is>
      </c>
      <c r="G34" s="3" t="inlineStr">
        <is>
          <t>DWC_USB3_MBUS_TYPE!=4 &amp;&amp; DWC_USB3_SSPHY_INTERFACE ==1</t>
        </is>
      </c>
      <c r="H34" s="3" t="inlineStr">
        <is>
          <t>若PIPE接口始终为32位@125MHz，则mac3_clk直接使用pipe3_rx_pclk。避免时钟分频器和多路选择器，简化DFT和时钟插入。启用时需确认GUSB3PIPECTL_INIT的bit[16:15]为2'b00。</t>
        </is>
      </c>
    </row>
    <row r="35">
      <c r="A35" s="2" t="n">
        <v>34</v>
      </c>
      <c r="B35" s="3" t="inlineStr">
        <is>
          <t>Y Synopsys, Inc. 305 SolvNet DesignWare.com3.20a February 2017SuperSpeed USB 3.0 Controller Databook Parameters Always Assign ram_clk to bus_clk_early</t>
        </is>
      </c>
      <c r="C35" s="3" t="inlineStr">
        <is>
          <t>DWC_USB3_RAM_CLK_TO_BUS_CLK</t>
        </is>
      </c>
      <c r="D35" s="3" t="inlineStr">
        <is>
          <t>1</t>
        </is>
      </c>
      <c r="E35" s="3" t="inlineStr">
        <is>
          <t>No (0); Y es (1)</t>
        </is>
      </c>
      <c r="F35" s="3" t="inlineStr">
        <is>
          <t>No</t>
        </is>
      </c>
      <c r="G35" s="3" t="inlineStr">
        <is>
          <t>DWC_USB3_MODE !=3 &amp;&amp; DWC_USB3_MBUS_TYPE!=4</t>
        </is>
      </c>
      <c r="H35" s="3" t="inlineStr">
        <is>
          <t>强制将bus_clk_early连接到ram_clk。通常不建议，因为会丧失低功耗模式下降低bus_clk的灵活性。若ram_clk不满足最小频率要求可能导致功能故障。可简化时钟插入和DFT。</t>
        </is>
      </c>
    </row>
    <row r="36">
      <c r="A36" s="2" t="n">
        <v>35</v>
      </c>
      <c r="B36" s="3" t="n"/>
      <c r="C36" s="3" t="inlineStr">
        <is>
          <t>DWC_USB3_EN_SYNC_ALL_POSEDGE</t>
        </is>
      </c>
      <c r="D36" s="3" t="inlineStr">
        <is>
          <t>0</t>
        </is>
      </c>
      <c r="E36" s="3" t="inlineStr">
        <is>
          <t>No (0); Y es (1)</t>
        </is>
      </c>
      <c r="F36" s="3" t="inlineStr">
        <is>
          <t>No</t>
        </is>
      </c>
      <c r="G36" s="3" t="inlineStr">
        <is>
          <t>DWC_USB3_MODE !=3</t>
        </is>
      </c>
      <c r="H36" s="3" t="inlineStr">
        <is>
          <t>使用全正沿时钟同步器替代首级负沿+次级正沿同步器。USB 3.0规范要求的某些负沿同步器仍保留。若FAST_TAT禁用且mac2_clk=30MHz，会提高设备模式最小ram_clk频率至100MHz。</t>
        </is>
      </c>
    </row>
    <row r="37">
      <c r="A37" s="2" t="n">
        <v>36</v>
      </c>
      <c r="B37" s="3" t="n"/>
      <c r="C37" s="3" t="inlineStr">
        <is>
          <t>DWC_USB3_REMOVE_PIPE_</t>
        </is>
      </c>
      <c r="D37" s="3" t="inlineStr">
        <is>
          <t>1</t>
        </is>
      </c>
      <c r="E37" s="3" t="inlineStr">
        <is>
          <t>No (0); Y es (1)</t>
        </is>
      </c>
      <c r="F37" s="3" t="inlineStr">
        <is>
          <t>No</t>
        </is>
      </c>
      <c r="G37" s="3" t="inlineStr">
        <is>
          <t>DWC_USB3_MODE !=3 &amp;&amp; DWC_USB3_MBUS_TYPE!=4</t>
        </is>
      </c>
      <c r="H37" s="3" t="inlineStr">
        <is>
          <t>移除用于USB 2.0 PHY工作的pipe3_clk额外时钟多路选择器。当不使用GUCTL1[DEV_FORCE_20_CLK_FOR_30_CLK]功能或复用器已实现在控制器外部时启用。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2026-07-27T09:42:34Z</dcterms:created>
  <dcterms:modified xsi:type="dcterms:W3CDTF">2026-07-27T09:54:11Z</dcterms:modified>
</cp:coreProperties>
</file>
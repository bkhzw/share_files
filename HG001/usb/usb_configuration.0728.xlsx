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ummary" sheetId="1" state="visible" r:id="rId1"/>
    <sheet name="RTL Value Review" sheetId="2" state="visible" r:id="rId2"/>
    <sheet name="Basic Config" sheetId="3" state="visible" r:id="rId3"/>
    <sheet name="PHY Config" sheetId="4" state="visible" r:id="rId4"/>
    <sheet name="Device Config" sheetId="5" state="visible" r:id="rId5"/>
    <sheet name="Host Config" sheetId="6" state="visible" r:id="rId6"/>
    <sheet name="Hub Config" sheetId="7" state="visible" r:id="rId7"/>
    <sheet name="Advanced Config"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b val="1"/>
      <color rgb="00FFFFFF"/>
      <sz val="14"/>
    </font>
    <font>
      <i val="1"/>
      <color rgb="00666666"/>
    </font>
    <font>
      <b val="1"/>
    </font>
  </fonts>
  <fills count="8">
    <fill>
      <patternFill/>
    </fill>
    <fill>
      <patternFill patternType="gray125"/>
    </fill>
    <fill>
      <patternFill patternType="solid">
        <fgColor rgb="002F5496"/>
        <bgColor rgb="002F5496"/>
      </patternFill>
    </fill>
    <fill>
      <patternFill patternType="solid">
        <fgColor rgb="00FFF2CC"/>
      </patternFill>
    </fill>
    <fill>
      <patternFill patternType="solid">
        <fgColor rgb="001F4E78"/>
      </patternFill>
    </fill>
    <fill>
      <patternFill patternType="solid">
        <fgColor rgb="00D9EAF7"/>
      </patternFill>
    </fill>
    <fill>
      <patternFill patternType="solid">
        <fgColor rgb="00E2F0D9"/>
      </patternFill>
    </fill>
    <fill>
      <patternFill patternType="solid">
        <fgColor rgb="00E7E6E6"/>
      </patternFill>
    </fill>
  </fills>
  <borders count="3">
    <border>
      <left/>
      <right/>
      <top/>
      <bottom/>
      <diagonal/>
    </border>
    <border>
      <left style="thin"/>
      <right style="thin"/>
      <top style="thin"/>
      <bottom style="thin"/>
    </border>
    <border>
      <left style="thin">
        <color rgb="00B7B7B7"/>
      </left>
      <right style="thin">
        <color rgb="00B7B7B7"/>
      </right>
      <top style="thin">
        <color rgb="00B7B7B7"/>
      </top>
      <bottom style="thin">
        <color rgb="00B7B7B7"/>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3" fillId="4" borderId="0" applyAlignment="1" pivotButton="0" quotePrefix="0" xfId="0">
      <alignment horizontal="center"/>
    </xf>
    <xf numFmtId="0" fontId="4" fillId="0" borderId="0" applyAlignment="1" pivotButton="0" quotePrefix="0" xfId="0">
      <alignment vertical="center" wrapText="1"/>
    </xf>
    <xf numFmtId="0" fontId="5" fillId="5"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0" fillId="6" borderId="2"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Codex</author>
  </authors>
  <commentList>
    <comment ref="C3" authorId="0" shapeId="0">
      <text>
        <t>审查修正：参数名原文被截断；databook 使用 USB2_ONLY。
Databook 依据：Table 4-1, page 237</t>
      </text>
    </comment>
    <comment ref="E3" authorId="0" shapeId="0">
      <text>
        <t>审查修正：清除 PDF 文本抽取导致的断词/截断。
Databook 依据：Databook Tables 4-1 至 4-8</t>
      </text>
    </comment>
    <comment ref="B4" authorId="0" shapeId="0">
      <text>
        <t>审查修正：恢复/规范化 databook Label 字段。
Databook 依据：Databook Table for this configuration group</t>
      </text>
    </comment>
    <comment ref="E4" authorId="0" shapeId="0">
      <text>
        <t>审查修正：清除 PDF 文本抽取导致的断词/截断。
Databook 依据：Databook Tables 4-1 至 4-8</t>
      </text>
    </comment>
    <comment ref="F4" authorId="0" shapeId="0">
      <text>
        <t>审查修正：清除 PDF 文本抽取导致的断词/截断。
Databook 依据：Databook Tables 4-1 至 4-8</t>
      </text>
    </comment>
    <comment ref="E5" authorId="0" shapeId="0">
      <text>
        <t>审查修正：清除 PDF 文本抽取导致的断词/截断。
Databook 依据：Databook Tables 4-1 至 4-8</t>
      </text>
    </comment>
    <comment ref="H5" authorId="0" shapeId="0">
      <text>
        <t>审查修正：Corrected against databook.
Databook 依据：Table 4-1, page 238</t>
      </text>
    </comment>
    <comment ref="B6" authorId="0" shapeId="0">
      <text>
        <t>审查修正：恢复/规范化 databook Label 字段。
Databook 依据：Databook Table for this configuration group</t>
      </text>
    </comment>
    <comment ref="B8" authorId="0" shapeId="0">
      <text>
        <t>审查修正：恢复/规范化 databook Label 字段。
Databook 依据：Databook Table for this configuration group</t>
      </text>
    </comment>
    <comment ref="E8" authorId="0" shapeId="0">
      <text>
        <t>审查修正：清除 PDF 文本抽取导致的断词/截断。
Databook 依据：Databook Tables 4-1 至 4-8</t>
      </text>
    </comment>
    <comment ref="H9" authorId="0" shapeId="0">
      <text>
        <t>审查修正：Corrected against databook.
Databook 依据：Table 4-1, page 240</t>
      </text>
    </comment>
    <comment ref="B10" authorId="0" shapeId="0">
      <text>
        <t>审查修正：恢复/规范化 databook Label 字段。
Databook 依据：Databook Table for this configuration group</t>
      </text>
    </comment>
    <comment ref="H10" authorId="0" shapeId="0">
      <text>
        <t>审查修正：Corrected against databook.
Databook 依据：Table 4-1, page 240</t>
      </text>
    </comment>
    <comment ref="F11" authorId="0" shapeId="0">
      <text>
        <t>审查修正：清除 PDF 文本抽取导致的断词/截断。
Databook 依据：Databook Tables 4-1 至 4-8</t>
      </text>
    </comment>
    <comment ref="B12" authorId="0" shapeId="0">
      <text>
        <t>审查修正：恢复/规范化 databook Label 字段。
Databook 依据：Databook Table for this configuration group</t>
      </text>
    </comment>
    <comment ref="B15" authorId="0" shapeId="0">
      <text>
        <t>审查修正：恢复/规范化 databook Label 字段。
Databook 依据：Databook Table for this configuration group</t>
      </text>
    </comment>
    <comment ref="F16" authorId="0" shapeId="0">
      <text>
        <t>审查修正：清除 PDF 文本抽取导致的断词/截断。
Databook 依据：Databook Tables 4-1 至 4-8</t>
      </text>
    </comment>
    <comment ref="G16" authorId="0" shapeId="0">
      <text>
        <t>审查修正：清除 PDF 文本抽取导致的断词/截断。
Databook 依据：Databook Tables 4-1 至 4-8</t>
      </text>
    </comment>
    <comment ref="B17" authorId="0" shapeId="0">
      <text>
        <t>审查修正：恢复/规范化 databook Label 字段。
Databook 依据：Databook Table for this configuration group</t>
      </text>
    </comment>
    <comment ref="B18" authorId="0" shapeId="0">
      <text>
        <t>审查修正：清除 PDF 文本抽取导致的断词/截断。
Databook 依据：Databook Tables 4-1 至 4-8</t>
      </text>
    </comment>
    <comment ref="B19" authorId="0" shapeId="0">
      <text>
        <t>审查修正：恢复/规范化 databook Label 字段。
Databook 依据：Databook Table for this configuration group</t>
      </text>
    </comment>
    <comment ref="B21" authorId="0" shapeId="0">
      <text>
        <t>审查修正：恢复/规范化 databook Label 字段。
Databook 依据：Databook Table for this configuration group</t>
      </text>
    </comment>
    <comment ref="B23" authorId="0" shapeId="0">
      <text>
        <t>审查修正：恢复/规范化 databook Label 字段。
Databook 依据：Databook Table for this configuration group</t>
      </text>
    </comment>
    <comment ref="E23" authorId="0" shapeId="0">
      <text>
        <t>审查修正：清除 PDF 文本抽取导致的断词/截断。
Databook 依据：Databook Tables 4-1 至 4-8</t>
      </text>
    </comment>
    <comment ref="B24" authorId="0" shapeId="0">
      <text>
        <t>审查修正：清除 PDF 文本抽取导致的断词/截断。
Databook 依据：Databook Tables 4-1 至 4-8</t>
      </text>
    </comment>
    <comment ref="B25" authorId="0" shapeId="0">
      <text>
        <t>审查修正：恢复/规范化 databook Label 字段。
Databook 依据：Databook Table for this configuration group</t>
      </text>
    </comment>
    <comment ref="B26" authorId="0" shapeId="0">
      <text>
        <t>审查修正：恢复/规范化 databook Label 字段。
Databook 依据：Databook Table for this configuration group</t>
      </text>
    </comment>
    <comment ref="E27" authorId="0" shapeId="0">
      <text>
        <t>审查修正：清除 PDF 文本抽取导致的断词/截断。
Databook 依据：Databook Tables 4-1 至 4-8</t>
      </text>
    </comment>
  </commentList>
</comments>
</file>

<file path=xl/comments/comment2.xml><?xml version="1.0" encoding="utf-8"?>
<comments xmlns="http://schemas.openxmlformats.org/spreadsheetml/2006/main">
  <authors>
    <author>Codex</author>
  </authors>
  <commentList>
    <comment ref="B3" authorId="0" shapeId="0">
      <text>
        <t>审查修正：恢复/规范化 databook Label 字段。
Databook 依据：Databook Table for this configuration group</t>
      </text>
    </comment>
    <comment ref="H3" authorId="0" shapeId="0">
      <text>
        <t>审查修正：Corrected against databook.
Databook 依据：Table 4-2, page 252</t>
      </text>
    </comment>
    <comment ref="E4" authorId="0" shapeId="0">
      <text>
        <t>审查修正：清除 PDF 文本抽取导致的断词/截断。
Databook 依据：Databook Tables 4-1 至 4-8</t>
      </text>
    </comment>
    <comment ref="B5" authorId="0" shapeId="0">
      <text>
        <t>审查修正：恢复/规范化 databook Label 字段。
Databook 依据：Databook Table for this configuration group</t>
      </text>
    </comment>
    <comment ref="E5" authorId="0" shapeId="0">
      <text>
        <t>审查修正：清除 PDF 文本抽取导致的断词/截断。
Databook 依据：Databook Tables 4-1 至 4-8</t>
      </text>
    </comment>
    <comment ref="B6" authorId="0" shapeId="0">
      <text>
        <t>审查修正：恢复/规范化 databook Label 字段。
Databook 依据：Databook Table for this configuration group</t>
      </text>
    </comment>
    <comment ref="E6" authorId="0" shapeId="0">
      <text>
        <t>审查修正：清除 PDF 文本抽取导致的断词/截断。
Databook 依据：Databook Tables 4-1 至 4-8</t>
      </text>
    </comment>
    <comment ref="B7" authorId="0" shapeId="0">
      <text>
        <t>审查修正：恢复/规范化 databook Label 字段。
Databook 依据：Databook Table for this configuration group</t>
      </text>
    </comment>
    <comment ref="B8" authorId="0" shapeId="0">
      <text>
        <t>审查修正：恢复/规范化 databook Label 字段。
Databook 依据：Databook Table for this configuration group</t>
      </text>
    </comment>
    <comment ref="E10" authorId="0" shapeId="0">
      <text>
        <t>审查修正：清除 PDF 文本抽取导致的断词/截断。
Databook 依据：Databook Tables 4-1 至 4-8</t>
      </text>
    </comment>
    <comment ref="E11" authorId="0" shapeId="0">
      <text>
        <t>审查修正：清除 PDF 文本抽取导致的断词/截断。
Databook 依据：Databook Tables 4-1 至 4-8</t>
      </text>
    </comment>
    <comment ref="B12" authorId="0" shapeId="0">
      <text>
        <t>审查修正：恢复/规范化 databook Label 字段。
Databook 依据：Databook Table for this configuration group</t>
      </text>
    </comment>
    <comment ref="B13" authorId="0" shapeId="0">
      <text>
        <t>审查修正：清除 PDF 文本抽取导致的断词/截断。
Databook 依据：Databook Tables 4-1 至 4-8</t>
      </text>
    </comment>
    <comment ref="B14" authorId="0" shapeId="0">
      <text>
        <t>审查修正：恢复/规范化 databook Label 字段。
Databook 依据：Databook Table for this configuration group</t>
      </text>
    </comment>
    <comment ref="E17" authorId="0" shapeId="0">
      <text>
        <t>审查修正：清除 PDF 文本抽取导致的断词/截断。
Databook 依据：Databook Tables 4-1 至 4-8</t>
      </text>
    </comment>
    <comment ref="B18" authorId="0" shapeId="0">
      <text>
        <t>审查修正：恢复/规范化 databook Label 字段。
Databook 依据：Databook Table for this configuration group</t>
      </text>
    </comment>
    <comment ref="B20" authorId="0" shapeId="0">
      <text>
        <t>审查修正：清除 PDF 文本抽取导致的断词/截断。
Databook 依据：Databook Tables 4-1 至 4-8</t>
      </text>
    </comment>
  </commentList>
</comments>
</file>

<file path=xl/comments/comment3.xml><?xml version="1.0" encoding="utf-8"?>
<comments xmlns="http://schemas.openxmlformats.org/spreadsheetml/2006/main">
  <authors>
    <author>Codex</author>
  </authors>
  <commentList>
    <comment ref="E6" authorId="0" shapeId="0">
      <text>
        <t>审查修正：清除 PDF 文本抽取导致的断词/截断。
Databook 依据：Databook Tables 4-1 至 4-8</t>
      </text>
    </comment>
    <comment ref="F7" authorId="0" shapeId="0">
      <text>
        <t>审查修正：清除 PDF 文本抽取导致的断词/截断。
Databook 依据：Databook Tables 4-1 至 4-8</t>
      </text>
    </comment>
    <comment ref="F8" authorId="0" shapeId="0">
      <text>
        <t>审查修正：清除 PDF 文本抽取导致的断词/截断。
Databook 依据：Databook Tables 4-1 至 4-8</t>
      </text>
    </comment>
    <comment ref="E9" authorId="0" shapeId="0">
      <text>
        <t>审查修正：清除 PDF 文本抽取导致的断词/截断。
Databook 依据：Databook Tables 4-1 至 4-8</t>
      </text>
    </comment>
    <comment ref="F9" authorId="0" shapeId="0">
      <text>
        <t>审查修正：清除 PDF 文本抽取导致的断词/截断。
Databook 依据：Databook Tables 4-1 至 4-8</t>
      </text>
    </comment>
    <comment ref="F10" authorId="0" shapeId="0">
      <text>
        <t>审查修正：清除 PDF 文本抽取导致的断词/截断。
Databook 依据：Databook Tables 4-1 至 4-8</t>
      </text>
    </comment>
    <comment ref="D11" authorId="0" shapeId="0">
      <text>
        <t>RTL 复核：所有 TxF1~TxF15 的 MAX_PACKET_SIZE 均为 1024。
来源：/NAS02/Project/HG001/FE/NT00024/HG001/IPs/usb/i_DWC_usb3_0723/src/HSP_DWC_usb3_params.v:1330, 1401, 1473 ... 2339</t>
      </text>
    </comment>
    <comment ref="F11" authorId="0" shapeId="0">
      <text>
        <t>审查修正：清除 PDF 文本抽取导致的断词/截断。
Databook 依据：Databook Tables 4-1 至 4-8</t>
      </text>
    </comment>
    <comment ref="D12" authorId="0" shapeId="0">
      <text>
        <t>RTL 复核：旧值 1 仅对应 TxF1；实际仅 TxF1/TxF2 使能 burst。
来源：/NAS02/Project/HG001/FE/NT00024/HG001/IPs/usb/i_DWC_usb3_0723/src/HSP_DWC_usb3_params.v:1315, 1385, 1457 ... 2323</t>
      </text>
    </comment>
    <comment ref="E12" authorId="0" shapeId="0">
      <text>
        <t>审查修正：清除 PDF 文本抽取导致的断词/截断。
Databook 依据：Databook Tables 4-1 至 4-8</t>
      </text>
    </comment>
    <comment ref="F12" authorId="0" shapeId="0">
      <text>
        <t>审查修正：清除 PDF 文本抽取导致的断词/截断。
Databook 依据：Databook Tables 4-1 至 4-8</t>
      </text>
    </comment>
    <comment ref="D13" authorId="0" shapeId="0">
      <text>
        <t>RTL 复核：旧值 3 仅对应 TxF1；实际 TxF3~TxF15 为 2。
来源：/NAS02/Project/HG001/FE/NT00024/HG001/IPs/usb/i_DWC_usb3_0723/src/HSP_DWC_usb3_params.v:1351, 1425, 1498 ... 2363</t>
      </text>
    </comment>
    <comment ref="F13" authorId="0" shapeId="0">
      <text>
        <t>审查修正：清除 PDF 文本抽取导致的断词/截断。
Databook 依据：Databook Tables 4-1 至 4-8</t>
      </text>
    </comment>
    <comment ref="D14" authorId="0" shapeId="0">
      <text>
        <t>RTL 复核：旧值 772 仅对应 TxF1；实际深度随 TxFIFO 编号不同。
来源：/NAS02/Project/HG001/FE/NT00024/HG001/IPs/usb/i_DWC_usb3_0723/src/HSP_DWC_usb3_params.v:1370, 1443, 1516 ... 2381</t>
      </text>
    </comment>
  </commentList>
</comments>
</file>

<file path=xl/comments/comment4.xml><?xml version="1.0" encoding="utf-8"?>
<comments xmlns="http://schemas.openxmlformats.org/spreadsheetml/2006/main">
  <authors>
    <author>Codex</author>
  </authors>
  <commentList>
    <comment ref="E2" authorId="0" shapeId="0">
      <text>
        <t>审查修正：清除 PDF 文本抽取导致的断词/截断。
Databook 依据：Databook Tables 4-1 至 4-8</t>
      </text>
    </comment>
    <comment ref="G2" authorId="0" shapeId="0">
      <text>
        <t>审查修正：清除 PDF 文本抽取导致的断词/截断。
Databook 依据：Databook Tables 4-1 至 4-8</t>
      </text>
    </comment>
    <comment ref="B4" authorId="0" shapeId="0">
      <text>
        <t>审查修正：恢复/规范化 databook Label 字段。
Databook 依据：Databook Table for this configuration group</t>
      </text>
    </comment>
    <comment ref="E4" authorId="0" shapeId="0">
      <text>
        <t>审查修正：清除 PDF 文本抽取导致的断词/截断。
Databook 依据：Databook Tables 4-1 至 4-8</t>
      </text>
    </comment>
    <comment ref="F4" authorId="0" shapeId="0">
      <text>
        <t>审查修正：清除 PDF 文本抽取导致的断词/截断。
Databook 依据：Databook Tables 4-1 至 4-8</t>
      </text>
    </comment>
    <comment ref="G4" authorId="0" shapeId="0">
      <text>
        <t>审查修正：清除 PDF 文本抽取导致的断词/截断。
Databook 依据：Databook Tables 4-1 至 4-8</t>
      </text>
    </comment>
    <comment ref="G6" authorId="0" shapeId="0">
      <text>
        <t>审查修正：清除 PDF 文本抽取导致的断词/截断。
Databook 依据：Databook Tables 4-1 至 4-8</t>
      </text>
    </comment>
    <comment ref="B7" authorId="0" shapeId="0">
      <text>
        <t>审查修正：恢复/规范化 databook Label 字段。
Databook 依据：Databook Table for this configuration group</t>
      </text>
    </comment>
    <comment ref="F7" authorId="0" shapeId="0">
      <text>
        <t>审查修正：清除 PDF 文本抽取导致的断词/截断。
Databook 依据：Databook Tables 4-1 至 4-8</t>
      </text>
    </comment>
    <comment ref="F8" authorId="0" shapeId="0">
      <text>
        <t>审查修正：清除 PDF 文本抽取导致的断词/截断。
Databook 依据：Databook Tables 4-1 至 4-8</t>
      </text>
    </comment>
    <comment ref="B9" authorId="0" shapeId="0">
      <text>
        <t>审查修正：恢复/规范化 databook Label 字段。
Databook 依据：Databook Table for this configuration group</t>
      </text>
    </comment>
    <comment ref="E9" authorId="0" shapeId="0">
      <text>
        <t>审查修正：清除 PDF 文本抽取导致的断词/截断。
Databook 依据：Databook Tables 4-1 至 4-8</t>
      </text>
    </comment>
    <comment ref="G10" authorId="0" shapeId="0">
      <text>
        <t>审查修正：清除 PDF 文本抽取导致的断词/截断。
Databook 依据：Databook Tables 4-1 至 4-8</t>
      </text>
    </comment>
    <comment ref="B11" authorId="0" shapeId="0">
      <text>
        <t>审查修正：恢复/规范化 databook Label 字段。
Databook 依据：Databook Table for this configuration group</t>
      </text>
    </comment>
    <comment ref="G13" authorId="0" shapeId="0">
      <text>
        <t>审查修正：清除 PDF 文本抽取导致的断词/截断。
Databook 依据：Databook Tables 4-1 至 4-8</t>
      </text>
    </comment>
    <comment ref="B14" authorId="0" shapeId="0">
      <text>
        <t>审查修正：恢复/规范化 databook Label 字段。
Databook 依据：Databook Table for this configuration group</t>
      </text>
    </comment>
    <comment ref="G14" authorId="0" shapeId="0">
      <text>
        <t>审查修正：清除 PDF 文本抽取导致的断词/截断。
Databook 依据：Databook Tables 4-1 至 4-8</t>
      </text>
    </comment>
    <comment ref="F15" authorId="0" shapeId="0">
      <text>
        <t>审查修正：清除 PDF 文本抽取导致的断词/截断。
Databook 依据：Databook Tables 4-1 至 4-8</t>
      </text>
    </comment>
    <comment ref="B16" authorId="0" shapeId="0">
      <text>
        <t>审查修正：恢复/规范化 databook Label 字段。
Databook 依据：Databook Table for this configuration group</t>
      </text>
    </comment>
    <comment ref="F16" authorId="0" shapeId="0">
      <text>
        <t>审查修正：清除 PDF 文本抽取导致的断词/截断。
Databook 依据：Databook Tables 4-1 至 4-8</t>
      </text>
    </comment>
    <comment ref="F17" authorId="0" shapeId="0">
      <text>
        <t>审查修正：清除 PDF 文本抽取导致的断词/截断。
Databook 依据：Databook Tables 4-1 至 4-8</t>
      </text>
    </comment>
    <comment ref="B18" authorId="0" shapeId="0">
      <text>
        <t>审查修正：恢复/规范化 databook Label 字段。
Databook 依据：Databook Table for this configuration group</t>
      </text>
    </comment>
    <comment ref="F18" authorId="0" shapeId="0">
      <text>
        <t>审查修正：清除 PDF 文本抽取导致的断词/截断。
Databook 依据：Databook Tables 4-1 至 4-8</t>
      </text>
    </comment>
    <comment ref="G19" authorId="0" shapeId="0">
      <text>
        <t>审查修正：清除 PDF 文本抽取导致的断词/截断。
Databook 依据：Databook Tables 4-1 至 4-8</t>
      </text>
    </comment>
    <comment ref="B20" authorId="0" shapeId="0">
      <text>
        <t>审查修正：恢复/规范化 databook Label 字段。
Databook 依据：Databook Table for this configuration group</t>
      </text>
    </comment>
    <comment ref="G22" authorId="0" shapeId="0">
      <text>
        <t>审查修正：清除 PDF 文本抽取导致的断词/截断。
Databook 依据：Databook Tables 4-1 至 4-8</t>
      </text>
    </comment>
    <comment ref="B23" authorId="0" shapeId="0">
      <text>
        <t>审查修正：恢复/规范化 databook Label 字段。
Databook 依据：Databook Table for this configuration group</t>
      </text>
    </comment>
  </commentList>
</comments>
</file>

<file path=xl/comments/comment5.xml><?xml version="1.0" encoding="utf-8"?>
<comments xmlns="http://schemas.openxmlformats.org/spreadsheetml/2006/main">
  <authors>
    <author>Codex</author>
  </authors>
  <commentList>
    <comment ref="E3" authorId="0" shapeId="0">
      <text>
        <t>审查修正：清除 PDF 文本抽取导致的断词/截断。
Databook 依据：Databook Tables 4-1 至 4-8</t>
      </text>
    </comment>
    <comment ref="E5" authorId="0" shapeId="0">
      <text>
        <t>审查修正：清除 PDF 文本抽取导致的断词/截断。
Databook 依据：Databook Tables 4-1 至 4-8</t>
      </text>
    </comment>
    <comment ref="B6" authorId="0" shapeId="0">
      <text>
        <t>审查修正：恢复/规范化 databook Label 字段。
Databook 依据：Databook Table for this configuration group</t>
      </text>
    </comment>
    <comment ref="B9" authorId="0" shapeId="0">
      <text>
        <t>审查修正：恢复/规范化 databook Label 字段。
Databook 依据：Databook Table for this configuration group</t>
      </text>
    </comment>
    <comment ref="B12" authorId="0" shapeId="0">
      <text>
        <t>审查修正：恢复/规范化 databook Label 字段。
Databook 依据：Databook Table for this configuration group</t>
      </text>
    </comment>
  </commentList>
</comments>
</file>

<file path=xl/comments/comment6.xml><?xml version="1.0" encoding="utf-8"?>
<comments xmlns="http://schemas.openxmlformats.org/spreadsheetml/2006/main">
  <authors>
    <author>Codex</author>
  </authors>
  <commentList>
    <comment ref="B2" authorId="0" shapeId="0">
      <text>
        <t>审查修正：清除 PDF 文本抽取导致的断词/截断。
Databook 依据：Databook Tables 4-1 至 4-8</t>
      </text>
    </comment>
    <comment ref="B3" authorId="0" shapeId="0">
      <text>
        <t>审查修正：恢复/规范化 databook Label 字段。
Databook 依据：Databook Table for this configuration group</t>
      </text>
    </comment>
    <comment ref="B4" authorId="0" shapeId="0">
      <text>
        <t>审查修正：清除 PDF 文本抽取导致的断词/截断。
Databook 依据：Databook Tables 4-1 至 4-8</t>
      </text>
    </comment>
    <comment ref="B5" authorId="0" shapeId="0">
      <text>
        <t>审查修正：恢复/规范化 databook Label 字段。
Databook 依据：Databook Table for this configuration group</t>
      </text>
    </comment>
    <comment ref="B6" authorId="0" shapeId="0">
      <text>
        <t>审查修正：清除 PDF 文本抽取导致的断词/截断。
Databook 依据：Databook Tables 4-1 至 4-8</t>
      </text>
    </comment>
    <comment ref="B7" authorId="0" shapeId="0">
      <text>
        <t>审查修正：恢复/规范化 databook Label 字段。
Databook 依据：Databook Table for this configuration group</t>
      </text>
    </comment>
    <comment ref="G8" authorId="0" shapeId="0">
      <text>
        <t>审查修正：清除 PDF 文本抽取导致的断词/截断。
Databook 依据：Databook Tables 4-1 至 4-8</t>
      </text>
    </comment>
    <comment ref="B9" authorId="0" shapeId="0">
      <text>
        <t>审查修正：恢复/规范化 databook Label 字段。
Databook 依据：Databook Table for this configuration group</t>
      </text>
    </comment>
    <comment ref="G9" authorId="0" shapeId="0">
      <text>
        <t>审查修正：清除 PDF 文本抽取导致的断词/截断。
Databook 依据：Databook Tables 4-1 至 4-8</t>
      </text>
    </comment>
    <comment ref="B10" authorId="0" shapeId="0">
      <text>
        <t>审查修正：恢复/规范化 databook Label 字段。
Databook 依据：Databook Table for this configuration group</t>
      </text>
    </comment>
    <comment ref="B11" authorId="0" shapeId="0">
      <text>
        <t>审查修正：恢复/规范化 databook Label 字段。
Databook 依据：Databook Table for this configuration group</t>
      </text>
    </comment>
    <comment ref="E11" authorId="0" shapeId="0">
      <text>
        <t>审查修正：清除 PDF 文本抽取导致的断词/截断。
Databook 依据：Databook Tables 4-1 至 4-8</t>
      </text>
    </comment>
    <comment ref="F12" authorId="0" shapeId="0">
      <text>
        <t>审查修正：清除 PDF 文本抽取导致的断词/截断。
Databook 依据：Databook Tables 4-1 至 4-8</t>
      </text>
    </comment>
    <comment ref="B13" authorId="0" shapeId="0">
      <text>
        <t>审查修正：恢复/规范化 databook Label 字段。
Databook 依据：Databook Table for this configuration group</t>
      </text>
    </comment>
    <comment ref="F14" authorId="0" shapeId="0">
      <text>
        <t>审查修正：清除 PDF 文本抽取导致的断词/截断。
Databook 依据：Databook Tables 4-1 至 4-8</t>
      </text>
    </comment>
    <comment ref="B15" authorId="0" shapeId="0">
      <text>
        <t>审查修正：恢复/规范化 databook Label 字段。
Databook 依据：Databook Table for this configuration group</t>
      </text>
    </comment>
    <comment ref="B18" authorId="0" shapeId="0">
      <text>
        <t>审查修正：恢复/规范化 databook Label 字段。
Databook 依据：Databook Table for this configuration group</t>
      </text>
    </comment>
    <comment ref="B21" authorId="0" shapeId="0">
      <text>
        <t>审查修正：恢复/规范化 databook Label 字段。
Databook 依据：Databook Table for this configuration group</t>
      </text>
    </comment>
    <comment ref="B25" authorId="0" shapeId="0">
      <text>
        <t>审查修正：恢复/规范化 databook Label 字段。
Databook 依据：Databook Table for this configuration group</t>
      </text>
    </comment>
    <comment ref="B26" authorId="0" shapeId="0">
      <text>
        <t>审查修正：恢复/规范化 databook Label 字段。
Databook 依据：Databook Table for this configuration group</t>
      </text>
    </comment>
    <comment ref="B27" authorId="0" shapeId="0">
      <text>
        <t>审查修正：恢复/规范化 databook Label 字段。
Databook 依据：Databook Table for this configuration group</t>
      </text>
    </comment>
    <comment ref="E28" authorId="0" shapeId="0">
      <text>
        <t>审查修正：清除 PDF 文本抽取导致的断词/截断。
Databook 依据：Databook Tables 4-1 至 4-8</t>
      </text>
    </comment>
    <comment ref="B29" authorId="0" shapeId="0">
      <text>
        <t>审查修正：恢复/规范化 databook Label 字段。
Databook 依据：Databook Table for this configuration group</t>
      </text>
    </comment>
    <comment ref="E29" authorId="0" shapeId="0">
      <text>
        <t>审查修正：清除 PDF 文本抽取导致的断词/截断。
Databook 依据：Databook Tables 4-1 至 4-8</t>
      </text>
    </comment>
    <comment ref="B30" authorId="0" shapeId="0">
      <text>
        <t>审查修正：恢复/规范化 databook Label 字段。
Databook 依据：Databook Table for this configuration group</t>
      </text>
    </comment>
    <comment ref="E30" authorId="0" shapeId="0">
      <text>
        <t>审查修正：清除 PDF 文本抽取导致的断词/截断。
Databook 依据：Databook Tables 4-1 至 4-8</t>
      </text>
    </comment>
    <comment ref="F30" authorId="0" shapeId="0">
      <text>
        <t>审查修正：清除 PDF 文本抽取导致的断词/截断。
Databook 依据：Databook Tables 4-1 至 4-8</t>
      </text>
    </comment>
    <comment ref="B31" authorId="0" shapeId="0">
      <text>
        <t>审查修正：恢复/规范化 databook Label 字段。
Databook 依据：Databook Table for this configuration group</t>
      </text>
    </comment>
    <comment ref="E31" authorId="0" shapeId="0">
      <text>
        <t>审查修正：清除 PDF 文本抽取导致的断词/截断。
Databook 依据：Databook Tables 4-1 至 4-8</t>
      </text>
    </comment>
    <comment ref="E32" authorId="0" shapeId="0">
      <text>
        <t>审查修正：清除 PDF 文本抽取导致的断词/截断。
Databook 依据：Databook Tables 4-1 至 4-8</t>
      </text>
    </comment>
    <comment ref="B33" authorId="0" shapeId="0">
      <text>
        <t>审查修正：恢复/规范化 databook Label 字段。
Databook 依据：Databook Table for this configuration group</t>
      </text>
    </comment>
    <comment ref="E33" authorId="0" shapeId="0">
      <text>
        <t>审查修正：清除 PDF 文本抽取导致的断词/截断。
Databook 依据：Databook Tables 4-1 至 4-8</t>
      </text>
    </comment>
    <comment ref="C34" authorId="0" shapeId="0">
      <text>
        <t>审查修正：参数名原文被截断；databook 为 PIPE_32BIT_ONLY。
Databook 依据：Table 4-8, page 304</t>
      </text>
    </comment>
    <comment ref="E34" authorId="0" shapeId="0">
      <text>
        <t>审查修正：清除 PDF 文本抽取导致的断词/截断。
Databook 依据：Databook Tables 4-1 至 4-8</t>
      </text>
    </comment>
    <comment ref="B35" authorId="0" shapeId="0">
      <text>
        <t>审查修正：移除 PDF 页眉污染并恢复原始 Label。
Databook 依据：Table 4-8, page 305</t>
      </text>
    </comment>
    <comment ref="E35" authorId="0" shapeId="0">
      <text>
        <t>审查修正：清除 PDF 文本抽取导致的断词/截断。
Databook 依据：Databook Tables 4-1 至 4-8</t>
      </text>
    </comment>
    <comment ref="B36" authorId="0" shapeId="0">
      <text>
        <t>审查修正：恢复/规范化 databook Label 字段。
Databook 依据：Databook Table for this configuration group</t>
      </text>
    </comment>
    <comment ref="E36" authorId="0" shapeId="0">
      <text>
        <t>审查修正：清除 PDF 文本抽取导致的断词/截断。
Databook 依据：Databook Tables 4-1 至 4-8</t>
      </text>
    </comment>
    <comment ref="B37" authorId="0" shapeId="0">
      <text>
        <t>审查修正：恢复/规范化 databook Label 字段。
Databook 依据：Databook Table for this configuration group</t>
      </text>
    </comment>
    <comment ref="C37" authorId="0" shapeId="0">
      <text>
        <t>审查修正：参数名原文被截断；databook 为 REMOVE_PIPE_CLK_MUX_FOR_20_MODE。
Databook 依据：Table 4-8, page 305</t>
      </text>
    </comment>
    <comment ref="E37" authorId="0" shapeId="0">
      <text>
        <t>审查修正：清除 PDF 文本抽取导致的断词/截断。
Databook 依据：Databook Tables 4-1 至 4-8</t>
      </text>
    </comment>
  </commentList>
</comments>
</file>

<file path=xl/tables/table1.xml><?xml version="1.0" encoding="utf-8"?>
<table xmlns="http://schemas.openxmlformats.org/spreadsheetml/2006/main" id="1" name="ReviewFindings" displayName="ReviewFindings" ref="A4:F15" headerRowCount="1">
  <autoFilter ref="A4:F15"/>
  <tableColumns count="6">
    <tableColumn id="1" name="类型"/>
    <tableColumn id="2" name="工作表"/>
    <tableColumn id="3" name="单元格"/>
    <tableColumn id="4" name="Parameter Name"/>
    <tableColumn id="5" name="审查结论 / 修正内容"/>
    <tableColumn id="6" name="Databook 依据"/>
  </tableColumns>
  <tableStyleInfo name="TableStyleMedium2" showFirstColumn="0" showLastColumn="0" showRowStripes="1" showColumnStripes="0"/>
</table>
</file>

<file path=xl/tables/table2.xml><?xml version="1.0" encoding="utf-8"?>
<table xmlns="http://schemas.openxmlformats.org/spreadsheetml/2006/main" id="2" name="RTLValueReview" displayName="RTLValueReview" ref="A4:G133" headerRowCount="1">
  <autoFilter ref="A4:G133"/>
  <tableColumns count="7">
    <tableColumn id="1" name="配置表"/>
    <tableColumn id="2" name="行号"/>
    <tableColumn id="3" name="Parameter / define"/>
    <tableColumn id="4" name="原 IP配置"/>
    <tableColumn id="5" name="RTL 实际值"/>
    <tableColumn id="6" name="审查结果"/>
    <tableColumn id="7" name="RTL 来源"/>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4" customWidth="1" min="3" max="3"/>
    <col width="43" customWidth="1" min="4" max="4"/>
    <col width="76" customWidth="1" min="5" max="5"/>
    <col width="35" customWidth="1" min="6" max="6"/>
  </cols>
  <sheetData>
    <row r="1">
      <c r="A1" s="6" t="inlineStr">
        <is>
          <t>DWC_usb3 3.20a 配置表审查结果</t>
        </is>
      </c>
    </row>
    <row r="2" ht="30" customHeight="1">
      <c r="A2" s="7" t="inlineStr">
        <is>
          <t>核对依据：DWC_usb3_databook.pdf，第 4.2 节（Tables 4-1 ~ 4-8）。黄色单元格为已纠正或由 PDF 抽取断词清理的内容。</t>
        </is>
      </c>
    </row>
    <row r="4">
      <c r="A4" s="8" t="inlineStr">
        <is>
          <t>类型</t>
        </is>
      </c>
      <c r="B4" s="8" t="inlineStr">
        <is>
          <t>工作表</t>
        </is>
      </c>
      <c r="C4" s="8" t="inlineStr">
        <is>
          <t>单元格</t>
        </is>
      </c>
      <c r="D4" s="8" t="inlineStr">
        <is>
          <t>Parameter Name</t>
        </is>
      </c>
      <c r="E4" s="8" t="inlineStr">
        <is>
          <t>审查结论 / 修正内容</t>
        </is>
      </c>
      <c r="F4" s="8" t="inlineStr">
        <is>
          <t>Databook 依据</t>
        </is>
      </c>
    </row>
    <row r="5" ht="45" customHeight="1">
      <c r="A5" s="9" t="inlineStr">
        <is>
          <t>已修正</t>
        </is>
      </c>
      <c r="B5" s="10" t="inlineStr">
        <is>
          <t>Basic Config</t>
        </is>
      </c>
      <c r="C5" s="10" t="inlineStr">
        <is>
          <t>C3</t>
        </is>
      </c>
      <c r="D5" s="10" t="inlineStr">
        <is>
          <t>DWC_USB3_EN_USB2_ONLY</t>
        </is>
      </c>
      <c r="E5" s="10" t="inlineStr">
        <is>
          <t>参数名原文被截断；databook 使用 USB2_ONLY。</t>
        </is>
      </c>
      <c r="F5" s="10" t="inlineStr">
        <is>
          <t>Table 4-1, page 237</t>
        </is>
      </c>
    </row>
    <row r="6" ht="45" customHeight="1">
      <c r="A6" s="9" t="inlineStr">
        <is>
          <t>已修正</t>
        </is>
      </c>
      <c r="B6" s="10" t="inlineStr">
        <is>
          <t>Basic Config</t>
        </is>
      </c>
      <c r="C6" s="10" t="inlineStr">
        <is>
          <t>H5</t>
        </is>
      </c>
      <c r="D6" s="10" t="inlineStr">
        <is>
          <t>DWC_USB3_EN_PWROPT</t>
        </is>
      </c>
      <c r="E6" s="10" t="inlineStr">
        <is>
          <t>Corrected against databook.</t>
        </is>
      </c>
      <c r="F6" s="10" t="inlineStr">
        <is>
          <t>Table 4-1, page 238</t>
        </is>
      </c>
    </row>
    <row r="7" ht="45" customHeight="1">
      <c r="A7" s="9" t="inlineStr">
        <is>
          <t>已修正</t>
        </is>
      </c>
      <c r="B7" s="10" t="inlineStr">
        <is>
          <t>Basic Config</t>
        </is>
      </c>
      <c r="C7" s="10" t="inlineStr">
        <is>
          <t>H9</t>
        </is>
      </c>
      <c r="D7" s="10" t="inlineStr">
        <is>
          <t>DWC_USB3_MBUS_TYPE</t>
        </is>
      </c>
      <c r="E7" s="10" t="inlineStr">
        <is>
          <t>Corrected against databook.</t>
        </is>
      </c>
      <c r="F7" s="10" t="inlineStr">
        <is>
          <t>Table 4-1, page 240</t>
        </is>
      </c>
    </row>
    <row r="8" ht="45" customHeight="1">
      <c r="A8" s="9" t="inlineStr">
        <is>
          <t>已修正</t>
        </is>
      </c>
      <c r="B8" s="10" t="inlineStr">
        <is>
          <t>Basic Config</t>
        </is>
      </c>
      <c r="C8" s="10" t="inlineStr">
        <is>
          <t>H10</t>
        </is>
      </c>
      <c r="D8" s="10" t="inlineStr">
        <is>
          <t>DWC_USB3_SBUS_TYPE</t>
        </is>
      </c>
      <c r="E8" s="10" t="inlineStr">
        <is>
          <t>Corrected against databook.</t>
        </is>
      </c>
      <c r="F8" s="10" t="inlineStr">
        <is>
          <t>Table 4-1, page 240</t>
        </is>
      </c>
    </row>
    <row r="9" ht="45" customHeight="1">
      <c r="A9" s="9" t="inlineStr">
        <is>
          <t>已修正</t>
        </is>
      </c>
      <c r="B9" s="10" t="inlineStr">
        <is>
          <t>PHY Config</t>
        </is>
      </c>
      <c r="C9" s="10" t="inlineStr">
        <is>
          <t>H3</t>
        </is>
      </c>
      <c r="D9" s="10" t="inlineStr">
        <is>
          <t>DWC_USB3_HSPHY_INTERFACE</t>
        </is>
      </c>
      <c r="E9" s="10" t="inlineStr">
        <is>
          <t>Corrected against databook.</t>
        </is>
      </c>
      <c r="F9" s="10" t="inlineStr">
        <is>
          <t>Table 4-2, page 252</t>
        </is>
      </c>
    </row>
    <row r="10" ht="45" customHeight="1">
      <c r="A10" s="9" t="inlineStr">
        <is>
          <t>已修正</t>
        </is>
      </c>
      <c r="B10" s="10" t="inlineStr">
        <is>
          <t>Advanced Config</t>
        </is>
      </c>
      <c r="C10" s="10" t="inlineStr">
        <is>
          <t>C34</t>
        </is>
      </c>
      <c r="D10" s="10" t="inlineStr">
        <is>
          <t>DWC_USB3_PIPE_32BIT_ONLY</t>
        </is>
      </c>
      <c r="E10" s="10" t="inlineStr">
        <is>
          <t>参数名原文被截断；databook 为 PIPE_32BIT_ONLY。</t>
        </is>
      </c>
      <c r="F10" s="10" t="inlineStr">
        <is>
          <t>Table 4-8, page 304</t>
        </is>
      </c>
    </row>
    <row r="11" ht="45" customHeight="1">
      <c r="A11" s="9" t="inlineStr">
        <is>
          <t>已修正</t>
        </is>
      </c>
      <c r="B11" s="10" t="inlineStr">
        <is>
          <t>Advanced Config</t>
        </is>
      </c>
      <c r="C11" s="10" t="inlineStr">
        <is>
          <t>C37</t>
        </is>
      </c>
      <c r="D11" s="10" t="inlineStr">
        <is>
          <t>DWC_USB3_REMOVE_PIPE_CLK_MUX_FOR_20_MODE</t>
        </is>
      </c>
      <c r="E11" s="10" t="inlineStr">
        <is>
          <t>参数名原文被截断；databook 为 REMOVE_PIPE_CLK_MUX_FOR_20_MODE。</t>
        </is>
      </c>
      <c r="F11" s="10" t="inlineStr">
        <is>
          <t>Table 4-8, page 305</t>
        </is>
      </c>
    </row>
    <row r="12" ht="45" customHeight="1">
      <c r="A12" s="9" t="inlineStr">
        <is>
          <t>已修正</t>
        </is>
      </c>
      <c r="B12" s="10" t="inlineStr">
        <is>
          <t>Advanced Config</t>
        </is>
      </c>
      <c r="C12" s="10" t="inlineStr">
        <is>
          <t>B35</t>
        </is>
      </c>
      <c r="D12" s="10" t="inlineStr">
        <is>
          <t>DWC_USB3_RAM_CLK_TO_BUS_CLK</t>
        </is>
      </c>
      <c r="E12" s="10" t="inlineStr">
        <is>
          <t>移除 PDF 页眉污染并恢复原始 Label。</t>
        </is>
      </c>
      <c r="F12" s="10" t="inlineStr">
        <is>
          <t>Table 4-8, page 305</t>
        </is>
      </c>
    </row>
    <row r="13" ht="45" customHeight="1">
      <c r="A13" s="11" t="inlineStr">
        <is>
          <t>配置提示</t>
        </is>
      </c>
      <c r="B13" s="10" t="inlineStr">
        <is>
          <t>Basic Config</t>
        </is>
      </c>
      <c r="C13" s="10" t="inlineStr">
        <is>
          <t>D11</t>
        </is>
      </c>
      <c r="D13" s="10" t="inlineStr">
        <is>
          <t>DWC_USB3_MDWIDTH</t>
        </is>
      </c>
      <c r="E13" s="10" t="inlineStr">
        <is>
          <t>当前值为 32-bit，虽为合法值，但 databook 建议 USB 3.0 DMA 使用 64-bit 或更宽；32-bit 同时使 DbC 与 Separate Descriptor Queues 的使能条件不成立。</t>
        </is>
      </c>
      <c r="F13" s="10" t="inlineStr">
        <is>
          <t>Table 4-1 p.241；Table 4-6 pp.271-272</t>
        </is>
      </c>
    </row>
    <row r="14" ht="45" customHeight="1">
      <c r="A14" s="11" t="inlineStr">
        <is>
          <t>配置提示</t>
        </is>
      </c>
      <c r="B14" s="10" t="inlineStr">
        <is>
          <t>Advanced Config</t>
        </is>
      </c>
      <c r="C14" s="10" t="inlineStr">
        <is>
          <t>D32:D33</t>
        </is>
      </c>
      <c r="D14" s="10" t="inlineStr">
        <is>
          <t>DWC_USB3_EN_BUS_FILTERS / DWC_USB3_EN_PMU_FILTER</t>
        </is>
      </c>
      <c r="E14" s="10" t="inlineStr">
        <is>
          <t>当前值均为 1，而默认值为 0；需确认 PHY/板级没有重复滤波，以及休眠模式下 PMU 输入滤波时序满足系统需求。</t>
        </is>
      </c>
      <c r="F14" s="10" t="inlineStr">
        <is>
          <t>Table 4-8, pp.303-304</t>
        </is>
      </c>
    </row>
    <row r="15" ht="45" customHeight="1">
      <c r="A15" s="11" t="inlineStr">
        <is>
          <t>配置提示</t>
        </is>
      </c>
      <c r="B15" s="10" t="inlineStr">
        <is>
          <t>Advanced Config</t>
        </is>
      </c>
      <c r="C15" s="10" t="inlineStr">
        <is>
          <t>D35</t>
        </is>
      </c>
      <c r="D15" s="10" t="inlineStr">
        <is>
          <t>DWC_USB3_RAM_CLK_TO_BUS_CLK</t>
        </is>
      </c>
      <c r="E15" s="10" t="inlineStr">
        <is>
          <t>当前值为 1，而默认值为 0；会减少低功耗时降低 bus_clk 的灵活性，且 ram_clk 必须满足当前配置的最小频率要求。</t>
        </is>
      </c>
      <c r="F15" s="10" t="inlineStr">
        <is>
          <t>Table 4-8, p.305</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133"/>
  <sheetViews>
    <sheetView showGridLines="0" workbookViewId="0">
      <pane ySplit="4" topLeftCell="A5" activePane="bottomLeft" state="frozen"/>
      <selection pane="bottomLeft" activeCell="A1" sqref="A1"/>
    </sheetView>
  </sheetViews>
  <sheetFormatPr baseColWidth="8" defaultRowHeight="15"/>
  <cols>
    <col width="18" customWidth="1" min="1" max="1"/>
    <col width="8" customWidth="1" min="2" max="2"/>
    <col width="48" customWidth="1" min="3" max="3"/>
    <col width="28" customWidth="1" min="4" max="4"/>
    <col width="43" customWidth="1" min="5" max="5"/>
    <col width="38" customWidth="1" min="6" max="6"/>
    <col width="44" customWidth="1" min="7" max="7"/>
  </cols>
  <sheetData>
    <row r="1">
      <c r="A1" s="6" t="inlineStr">
        <is>
          <t>DWC_usb3 IP配置列 — RTL 反查审查结果</t>
        </is>
      </c>
    </row>
    <row r="2" ht="30" customHeight="1">
      <c r="A2" s="7" t="inlineStr">
        <is>
          <t>RTL 来源：/NAS02/Project/HG001/FE/NT00024/HG001/IPs/usb/i_DWC_usb3_0723/src/HSP_DWC_usb3_params.v。结果：125 项直接一致；4 项 TxFn 通配配置已按 TxF1~TxF15 的实际 define 展开。</t>
        </is>
      </c>
    </row>
    <row r="4">
      <c r="A4" s="8" t="inlineStr">
        <is>
          <t>配置表</t>
        </is>
      </c>
      <c r="B4" s="8" t="inlineStr">
        <is>
          <t>行号</t>
        </is>
      </c>
      <c r="C4" s="8" t="inlineStr">
        <is>
          <t>Parameter / define</t>
        </is>
      </c>
      <c r="D4" s="8" t="inlineStr">
        <is>
          <t>原 IP配置</t>
        </is>
      </c>
      <c r="E4" s="8" t="inlineStr">
        <is>
          <t>RTL 实际值</t>
        </is>
      </c>
      <c r="F4" s="8" t="inlineStr">
        <is>
          <t>审查结果</t>
        </is>
      </c>
      <c r="G4" s="8" t="inlineStr">
        <is>
          <t>RTL 来源</t>
        </is>
      </c>
    </row>
    <row r="5" ht="34" customHeight="1">
      <c r="A5" s="10" t="inlineStr">
        <is>
          <t>Basic Config</t>
        </is>
      </c>
      <c r="B5" s="10" t="n">
        <v>2</v>
      </c>
      <c r="C5" s="10" t="inlineStr">
        <is>
          <t>DWC_USB3_MODE</t>
        </is>
      </c>
      <c r="D5" s="10" t="inlineStr">
        <is>
          <t>2</t>
        </is>
      </c>
      <c r="E5" s="10" t="inlineStr">
        <is>
          <t>2</t>
        </is>
      </c>
      <c r="F5" s="11" t="inlineStr">
        <is>
          <t>一致</t>
        </is>
      </c>
      <c r="G5" s="10" t="inlineStr">
        <is>
          <t>HSP_DWC_usb3_params.v:51</t>
        </is>
      </c>
    </row>
    <row r="6" ht="34" customHeight="1">
      <c r="A6" s="10" t="inlineStr">
        <is>
          <t>Basic Config</t>
        </is>
      </c>
      <c r="B6" s="10" t="n">
        <v>3</v>
      </c>
      <c r="C6" s="10" t="inlineStr">
        <is>
          <t>DWC_USB3_EN_USB2_ONLY</t>
        </is>
      </c>
      <c r="D6" s="10" t="inlineStr">
        <is>
          <t>0</t>
        </is>
      </c>
      <c r="E6" s="10" t="inlineStr">
        <is>
          <t>0</t>
        </is>
      </c>
      <c r="F6" s="11" t="inlineStr">
        <is>
          <t>一致</t>
        </is>
      </c>
      <c r="G6" s="10" t="inlineStr">
        <is>
          <t>HSP_DWC_usb3_params.v:70</t>
        </is>
      </c>
    </row>
    <row r="7" ht="34" customHeight="1">
      <c r="A7" s="10" t="inlineStr">
        <is>
          <t>Basic Config</t>
        </is>
      </c>
      <c r="B7" s="10" t="n">
        <v>4</v>
      </c>
      <c r="C7" s="10" t="inlineStr">
        <is>
          <t>DWC_USB3_EN_ISOC_SUPT</t>
        </is>
      </c>
      <c r="D7" s="10" t="inlineStr">
        <is>
          <t>1</t>
        </is>
      </c>
      <c r="E7" s="10" t="inlineStr">
        <is>
          <t>1</t>
        </is>
      </c>
      <c r="F7" s="11" t="inlineStr">
        <is>
          <t>一致</t>
        </is>
      </c>
      <c r="G7" s="10" t="inlineStr">
        <is>
          <t>HSP_DWC_usb3_params.v:82</t>
        </is>
      </c>
    </row>
    <row r="8" ht="34" customHeight="1">
      <c r="A8" s="10" t="inlineStr">
        <is>
          <t>Basic Config</t>
        </is>
      </c>
      <c r="B8" s="10" t="n">
        <v>5</v>
      </c>
      <c r="C8" s="10" t="inlineStr">
        <is>
          <t>DWC_USB3_EN_PWROPT</t>
        </is>
      </c>
      <c r="D8" s="10" t="inlineStr">
        <is>
          <t>2</t>
        </is>
      </c>
      <c r="E8" s="10" t="inlineStr">
        <is>
          <t>2</t>
        </is>
      </c>
      <c r="F8" s="11" t="inlineStr">
        <is>
          <t>一致</t>
        </is>
      </c>
      <c r="G8" s="10" t="inlineStr">
        <is>
          <t>HSP_DWC_usb3_params.v:100</t>
        </is>
      </c>
    </row>
    <row r="9" ht="34" customHeight="1">
      <c r="A9" s="10" t="inlineStr">
        <is>
          <t>Basic Config</t>
        </is>
      </c>
      <c r="B9" s="10" t="n">
        <v>6</v>
      </c>
      <c r="C9" s="10" t="inlineStr">
        <is>
          <t>DWC_USB3_EN_OTG</t>
        </is>
      </c>
      <c r="D9" s="10" t="inlineStr">
        <is>
          <t>2</t>
        </is>
      </c>
      <c r="E9" s="10" t="inlineStr">
        <is>
          <t>2</t>
        </is>
      </c>
      <c r="F9" s="11" t="inlineStr">
        <is>
          <t>一致</t>
        </is>
      </c>
      <c r="G9" s="10" t="inlineStr">
        <is>
          <t>HSP_DWC_usb3_params.v:132</t>
        </is>
      </c>
    </row>
    <row r="10" ht="34" customHeight="1">
      <c r="A10" s="10" t="inlineStr">
        <is>
          <t>Basic Config</t>
        </is>
      </c>
      <c r="B10" s="10" t="n">
        <v>7</v>
      </c>
      <c r="C10" s="10" t="inlineStr">
        <is>
          <t>DWC_USB3_EN_ADP</t>
        </is>
      </c>
      <c r="D10" s="10" t="inlineStr">
        <is>
          <t>0</t>
        </is>
      </c>
      <c r="E10" s="10" t="inlineStr">
        <is>
          <t>0</t>
        </is>
      </c>
      <c r="F10" s="11" t="inlineStr">
        <is>
          <t>一致</t>
        </is>
      </c>
      <c r="G10" s="10" t="inlineStr">
        <is>
          <t>HSP_DWC_usb3_params.v:149</t>
        </is>
      </c>
    </row>
    <row r="11" ht="34" customHeight="1">
      <c r="A11" s="10" t="inlineStr">
        <is>
          <t>Basic Config</t>
        </is>
      </c>
      <c r="B11" s="10" t="n">
        <v>8</v>
      </c>
      <c r="C11" s="10" t="inlineStr">
        <is>
          <t>DWC_USB3_EN_BC</t>
        </is>
      </c>
      <c r="D11" s="10" t="inlineStr">
        <is>
          <t>0</t>
        </is>
      </c>
      <c r="E11" s="10" t="inlineStr">
        <is>
          <t>0</t>
        </is>
      </c>
      <c r="F11" s="11" t="inlineStr">
        <is>
          <t>一致</t>
        </is>
      </c>
      <c r="G11" s="10" t="inlineStr">
        <is>
          <t>HSP_DWC_usb3_params.v:167</t>
        </is>
      </c>
    </row>
    <row r="12" ht="34" customHeight="1">
      <c r="A12" s="10" t="inlineStr">
        <is>
          <t>Basic Config</t>
        </is>
      </c>
      <c r="B12" s="10" t="n">
        <v>9</v>
      </c>
      <c r="C12" s="10" t="inlineStr">
        <is>
          <t>DWC_USB3_MBUS_TYPE</t>
        </is>
      </c>
      <c r="D12" s="10" t="inlineStr">
        <is>
          <t>1</t>
        </is>
      </c>
      <c r="E12" s="10" t="inlineStr">
        <is>
          <t>1</t>
        </is>
      </c>
      <c r="F12" s="11" t="inlineStr">
        <is>
          <t>一致</t>
        </is>
      </c>
      <c r="G12" s="10" t="inlineStr">
        <is>
          <t>HSP_DWC_usb3_params.v:183</t>
        </is>
      </c>
    </row>
    <row r="13" ht="34" customHeight="1">
      <c r="A13" s="10" t="inlineStr">
        <is>
          <t>Basic Config</t>
        </is>
      </c>
      <c r="B13" s="10" t="n">
        <v>10</v>
      </c>
      <c r="C13" s="10" t="inlineStr">
        <is>
          <t>DWC_USB3_SBUS_TYPE</t>
        </is>
      </c>
      <c r="D13" s="10" t="inlineStr">
        <is>
          <t>1</t>
        </is>
      </c>
      <c r="E13" s="10" t="inlineStr">
        <is>
          <t>1</t>
        </is>
      </c>
      <c r="F13" s="11" t="inlineStr">
        <is>
          <t>一致</t>
        </is>
      </c>
      <c r="G13" s="10" t="inlineStr">
        <is>
          <t>HSP_DWC_usb3_params.v:200</t>
        </is>
      </c>
    </row>
    <row r="14" ht="34" customHeight="1">
      <c r="A14" s="10" t="inlineStr">
        <is>
          <t>Basic Config</t>
        </is>
      </c>
      <c r="B14" s="10" t="n">
        <v>11</v>
      </c>
      <c r="C14" s="10" t="inlineStr">
        <is>
          <t>DWC_USB3_MDWIDTH</t>
        </is>
      </c>
      <c r="D14" s="10" t="inlineStr">
        <is>
          <t>32</t>
        </is>
      </c>
      <c r="E14" s="10" t="inlineStr">
        <is>
          <t>32</t>
        </is>
      </c>
      <c r="F14" s="11" t="inlineStr">
        <is>
          <t>一致</t>
        </is>
      </c>
      <c r="G14" s="10" t="inlineStr">
        <is>
          <t>HSP_DWC_usb3_params.v:214</t>
        </is>
      </c>
    </row>
    <row r="15" ht="34" customHeight="1">
      <c r="A15" s="10" t="inlineStr">
        <is>
          <t>Basic Config</t>
        </is>
      </c>
      <c r="B15" s="10" t="n">
        <v>12</v>
      </c>
      <c r="C15" s="10" t="inlineStr">
        <is>
          <t>DWC_USB3_SDWIDTH</t>
        </is>
      </c>
      <c r="D15" s="10" t="inlineStr">
        <is>
          <t>32</t>
        </is>
      </c>
      <c r="E15" s="10" t="inlineStr">
        <is>
          <t>32</t>
        </is>
      </c>
      <c r="F15" s="11" t="inlineStr">
        <is>
          <t>一致</t>
        </is>
      </c>
      <c r="G15" s="10" t="inlineStr">
        <is>
          <t>HSP_DWC_usb3_params.v:234</t>
        </is>
      </c>
    </row>
    <row r="16" ht="34" customHeight="1">
      <c r="A16" s="10" t="inlineStr">
        <is>
          <t>Basic Config</t>
        </is>
      </c>
      <c r="B16" s="10" t="n">
        <v>13</v>
      </c>
      <c r="C16" s="10" t="inlineStr">
        <is>
          <t>DWC_USB3_AWIDTH</t>
        </is>
      </c>
      <c r="D16" s="10" t="inlineStr">
        <is>
          <t>64</t>
        </is>
      </c>
      <c r="E16" s="10" t="inlineStr">
        <is>
          <t>64</t>
        </is>
      </c>
      <c r="F16" s="11" t="inlineStr">
        <is>
          <t>一致</t>
        </is>
      </c>
      <c r="G16" s="10" t="inlineStr">
        <is>
          <t>HSP_DWC_usb3_params.v:249</t>
        </is>
      </c>
    </row>
    <row r="17" ht="34" customHeight="1">
      <c r="A17" s="10" t="inlineStr">
        <is>
          <t>Basic Config</t>
        </is>
      </c>
      <c r="B17" s="10" t="n">
        <v>14</v>
      </c>
      <c r="C17" s="10" t="inlineStr">
        <is>
          <t>DWC_USB3_IDWIDTH</t>
        </is>
      </c>
      <c r="D17" s="10" t="inlineStr">
        <is>
          <t>8</t>
        </is>
      </c>
      <c r="E17" s="10" t="inlineStr">
        <is>
          <t>8</t>
        </is>
      </c>
      <c r="F17" s="11" t="inlineStr">
        <is>
          <t>一致</t>
        </is>
      </c>
      <c r="G17" s="10" t="inlineStr">
        <is>
          <t>HSP_DWC_usb3_params.v:263</t>
        </is>
      </c>
    </row>
    <row r="18" ht="34" customHeight="1">
      <c r="A18" s="10" t="inlineStr">
        <is>
          <t>Basic Config</t>
        </is>
      </c>
      <c r="B18" s="10" t="n">
        <v>15</v>
      </c>
      <c r="C18" s="10" t="inlineStr">
        <is>
          <t>DWC_USB3_SIDWIDTH</t>
        </is>
      </c>
      <c r="D18" s="10" t="inlineStr">
        <is>
          <t>10</t>
        </is>
      </c>
      <c r="E18" s="10" t="inlineStr">
        <is>
          <t>10</t>
        </is>
      </c>
      <c r="F18" s="11" t="inlineStr">
        <is>
          <t>一致</t>
        </is>
      </c>
      <c r="G18" s="10" t="inlineStr">
        <is>
          <t>HSP_DWC_usb3_params.v:276</t>
        </is>
      </c>
    </row>
    <row r="19" ht="34" customHeight="1">
      <c r="A19" s="10" t="inlineStr">
        <is>
          <t>Basic Config</t>
        </is>
      </c>
      <c r="B19" s="10" t="n">
        <v>16</v>
      </c>
      <c r="C19" s="10" t="inlineStr">
        <is>
          <t>DWC_USB3_NUM_RAMS</t>
        </is>
      </c>
      <c r="D19" s="10" t="inlineStr">
        <is>
          <t>3</t>
        </is>
      </c>
      <c r="E19" s="10" t="inlineStr">
        <is>
          <t>3</t>
        </is>
      </c>
      <c r="F19" s="11" t="inlineStr">
        <is>
          <t>一致</t>
        </is>
      </c>
      <c r="G19" s="10" t="inlineStr">
        <is>
          <t>HSP_DWC_usb3_params.v:359</t>
        </is>
      </c>
    </row>
    <row r="20" ht="34" customHeight="1">
      <c r="A20" s="10" t="inlineStr">
        <is>
          <t>Basic Config</t>
        </is>
      </c>
      <c r="B20" s="10" t="n">
        <v>17</v>
      </c>
      <c r="C20" s="10" t="inlineStr">
        <is>
          <t>DWC_USB3_SPRAM_TYP</t>
        </is>
      </c>
      <c r="D20" s="10" t="inlineStr">
        <is>
          <t>0</t>
        </is>
      </c>
      <c r="E20" s="10" t="inlineStr">
        <is>
          <t>0</t>
        </is>
      </c>
      <c r="F20" s="11" t="inlineStr">
        <is>
          <t>一致</t>
        </is>
      </c>
      <c r="G20" s="10" t="inlineStr">
        <is>
          <t>HSP_DWC_usb3_params.v:386</t>
        </is>
      </c>
    </row>
    <row r="21" ht="34" customHeight="1">
      <c r="A21" s="10" t="inlineStr">
        <is>
          <t>Basic Config</t>
        </is>
      </c>
      <c r="B21" s="10" t="n">
        <v>18</v>
      </c>
      <c r="C21" s="10" t="inlineStr">
        <is>
          <t>DWC_USB3_USERID</t>
        </is>
      </c>
      <c r="D21" s="10" t="inlineStr">
        <is>
          <t>32'h12345678</t>
        </is>
      </c>
      <c r="E21" s="10" t="inlineStr">
        <is>
          <t>32'h12345678</t>
        </is>
      </c>
      <c r="F21" s="11" t="inlineStr">
        <is>
          <t>一致</t>
        </is>
      </c>
      <c r="G21" s="10" t="inlineStr">
        <is>
          <t>HSP_DWC_usb3_params.v:499</t>
        </is>
      </c>
    </row>
    <row r="22" ht="34" customHeight="1">
      <c r="A22" s="10" t="inlineStr">
        <is>
          <t>Basic Config</t>
        </is>
      </c>
      <c r="B22" s="10" t="n">
        <v>19</v>
      </c>
      <c r="C22" s="10" t="inlineStr">
        <is>
          <t>DWC_USB3_GUCTL</t>
        </is>
      </c>
      <c r="D22" s="10" t="inlineStr">
        <is>
          <t>32'h5000010</t>
        </is>
      </c>
      <c r="E22" s="10" t="inlineStr">
        <is>
          <t>32'h5000010</t>
        </is>
      </c>
      <c r="F22" s="11" t="inlineStr">
        <is>
          <t>一致</t>
        </is>
      </c>
      <c r="G22" s="10" t="inlineStr">
        <is>
          <t>HSP_DWC_usb3_params.v:515</t>
        </is>
      </c>
    </row>
    <row r="23" ht="34" customHeight="1">
      <c r="A23" s="10" t="inlineStr">
        <is>
          <t>Basic Config</t>
        </is>
      </c>
      <c r="B23" s="10" t="n">
        <v>20</v>
      </c>
      <c r="C23" s="10" t="inlineStr">
        <is>
          <t>DWC_USB3_GUCTL1</t>
        </is>
      </c>
      <c r="D23" s="10" t="inlineStr">
        <is>
          <t>32'h4198a</t>
        </is>
      </c>
      <c r="E23" s="10" t="inlineStr">
        <is>
          <t>32'h4198a</t>
        </is>
      </c>
      <c r="F23" s="11" t="inlineStr">
        <is>
          <t>一致</t>
        </is>
      </c>
      <c r="G23" s="10" t="inlineStr">
        <is>
          <t>HSP_DWC_usb3_params.v:533</t>
        </is>
      </c>
    </row>
    <row r="24" ht="34" customHeight="1">
      <c r="A24" s="10" t="inlineStr">
        <is>
          <t>Basic Config</t>
        </is>
      </c>
      <c r="B24" s="10" t="n">
        <v>21</v>
      </c>
      <c r="C24" s="10" t="inlineStr">
        <is>
          <t>DWC_USB3_GUCTL2</t>
        </is>
      </c>
      <c r="D24" s="10" t="inlineStr">
        <is>
          <t>32'h40d</t>
        </is>
      </c>
      <c r="E24" s="10" t="inlineStr">
        <is>
          <t>32'h40d</t>
        </is>
      </c>
      <c r="F24" s="11" t="inlineStr">
        <is>
          <t>一致</t>
        </is>
      </c>
      <c r="G24" s="10" t="inlineStr">
        <is>
          <t>HSP_DWC_usb3_params.v:555</t>
        </is>
      </c>
    </row>
    <row r="25" ht="34" customHeight="1">
      <c r="A25" s="10" t="inlineStr">
        <is>
          <t>Basic Config</t>
        </is>
      </c>
      <c r="B25" s="10" t="n">
        <v>22</v>
      </c>
      <c r="C25" s="10" t="inlineStr">
        <is>
          <t>DWC_USB3_GFLADJ</t>
        </is>
      </c>
      <c r="D25" s="10" t="inlineStr">
        <is>
          <t>32'h0</t>
        </is>
      </c>
      <c r="E25" s="10" t="inlineStr">
        <is>
          <t>32'h0</t>
        </is>
      </c>
      <c r="F25" s="11" t="inlineStr">
        <is>
          <t>一致</t>
        </is>
      </c>
      <c r="G25" s="10" t="inlineStr">
        <is>
          <t>HSP_DWC_usb3_params.v:571</t>
        </is>
      </c>
    </row>
    <row r="26" ht="34" customHeight="1">
      <c r="A26" s="10" t="inlineStr">
        <is>
          <t>Basic Config</t>
        </is>
      </c>
      <c r="B26" s="10" t="n">
        <v>23</v>
      </c>
      <c r="C26" s="10" t="inlineStr">
        <is>
          <t>DWC_USB3_MDBUS_ACCESS_GT21</t>
        </is>
      </c>
      <c r="D26" s="10" t="inlineStr">
        <is>
          <t>0</t>
        </is>
      </c>
      <c r="E26" s="10" t="inlineStr">
        <is>
          <t>0</t>
        </is>
      </c>
      <c r="F26" s="11" t="inlineStr">
        <is>
          <t>一致</t>
        </is>
      </c>
      <c r="G26" s="10" t="inlineStr">
        <is>
          <t>HSP_DWC_usb3_params.v:596</t>
        </is>
      </c>
    </row>
    <row r="27" ht="34" customHeight="1">
      <c r="A27" s="10" t="inlineStr">
        <is>
          <t>Basic Config</t>
        </is>
      </c>
      <c r="B27" s="10" t="n">
        <v>24</v>
      </c>
      <c r="C27" s="10" t="inlineStr">
        <is>
          <t>DWC_USB3_GTXTHRCFG_INIT</t>
        </is>
      </c>
      <c r="D27" s="10" t="inlineStr">
        <is>
          <t>32'h0</t>
        </is>
      </c>
      <c r="E27" s="10" t="inlineStr">
        <is>
          <t>32'h0</t>
        </is>
      </c>
      <c r="F27" s="11" t="inlineStr">
        <is>
          <t>一致</t>
        </is>
      </c>
      <c r="G27" s="10" t="inlineStr">
        <is>
          <t>HSP_DWC_usb3_params.v:3068</t>
        </is>
      </c>
    </row>
    <row r="28" ht="34" customHeight="1">
      <c r="A28" s="10" t="inlineStr">
        <is>
          <t>Basic Config</t>
        </is>
      </c>
      <c r="B28" s="10" t="n">
        <v>25</v>
      </c>
      <c r="C28" s="10" t="inlineStr">
        <is>
          <t>DWC_USB3_GRXTHRCFG_INIT</t>
        </is>
      </c>
      <c r="D28" s="10" t="inlineStr">
        <is>
          <t>32'h0</t>
        </is>
      </c>
      <c r="E28" s="10" t="inlineStr">
        <is>
          <t>32'h0</t>
        </is>
      </c>
      <c r="F28" s="11" t="inlineStr">
        <is>
          <t>一致</t>
        </is>
      </c>
      <c r="G28" s="10" t="inlineStr">
        <is>
          <t>HSP_DWC_usb3_params.v:3087</t>
        </is>
      </c>
    </row>
    <row r="29" ht="34" customHeight="1">
      <c r="A29" s="10" t="inlineStr">
        <is>
          <t>Basic Config</t>
        </is>
      </c>
      <c r="B29" s="10" t="n">
        <v>26</v>
      </c>
      <c r="C29" s="10" t="inlineStr">
        <is>
          <t>DWC_USB3_GCTL_INIT</t>
        </is>
      </c>
      <c r="D29" s="10" t="inlineStr">
        <is>
          <t>32'h192004</t>
        </is>
      </c>
      <c r="E29" s="10" t="inlineStr">
        <is>
          <t>32'h192004</t>
        </is>
      </c>
      <c r="F29" s="11" t="inlineStr">
        <is>
          <t>一致</t>
        </is>
      </c>
      <c r="G29" s="10" t="inlineStr">
        <is>
          <t>HSP_DWC_usb3_params.v:3146</t>
        </is>
      </c>
    </row>
    <row r="30" ht="34" customHeight="1">
      <c r="A30" s="10" t="inlineStr">
        <is>
          <t>Basic Config</t>
        </is>
      </c>
      <c r="B30" s="10" t="n">
        <v>27</v>
      </c>
      <c r="C30" s="10" t="inlineStr">
        <is>
          <t>DWC_USB3_EN_ECC</t>
        </is>
      </c>
      <c r="D30" s="10" t="inlineStr">
        <is>
          <t>0</t>
        </is>
      </c>
      <c r="E30" s="10" t="inlineStr">
        <is>
          <t>0</t>
        </is>
      </c>
      <c r="F30" s="11" t="inlineStr">
        <is>
          <t>一致</t>
        </is>
      </c>
      <c r="G30" s="10" t="inlineStr">
        <is>
          <t>HSP_DWC_usb3_params.v:3164</t>
        </is>
      </c>
    </row>
    <row r="31" ht="34" customHeight="1">
      <c r="A31" s="10" t="inlineStr">
        <is>
          <t>PHY Config</t>
        </is>
      </c>
      <c r="B31" s="10" t="n">
        <v>2</v>
      </c>
      <c r="C31" s="10" t="inlineStr">
        <is>
          <t>DWC_USB3_SSPHY_INTERFACE_NUM_PIPE</t>
        </is>
      </c>
      <c r="D31" s="10" t="inlineStr">
        <is>
          <t>0</t>
        </is>
      </c>
      <c r="E31" s="10" t="inlineStr">
        <is>
          <t>0</t>
        </is>
      </c>
      <c r="F31" s="11" t="inlineStr">
        <is>
          <t>一致</t>
        </is>
      </c>
      <c r="G31" s="10" t="inlineStr">
        <is>
          <t>HSP_DWC_usb3_params.v:635</t>
        </is>
      </c>
    </row>
    <row r="32" ht="34" customHeight="1">
      <c r="A32" s="10" t="inlineStr">
        <is>
          <t>PHY Config</t>
        </is>
      </c>
      <c r="B32" s="10" t="n">
        <v>3</v>
      </c>
      <c r="C32" s="10" t="inlineStr">
        <is>
          <t>DWC_USB3_HSPHY_INTERFACE</t>
        </is>
      </c>
      <c r="D32" s="10" t="inlineStr">
        <is>
          <t>3</t>
        </is>
      </c>
      <c r="E32" s="10" t="inlineStr">
        <is>
          <t>3</t>
        </is>
      </c>
      <c r="F32" s="11" t="inlineStr">
        <is>
          <t>一致</t>
        </is>
      </c>
      <c r="G32" s="10" t="inlineStr">
        <is>
          <t>HSP_DWC_usb3_params.v:653</t>
        </is>
      </c>
    </row>
    <row r="33" ht="34" customHeight="1">
      <c r="A33" s="10" t="inlineStr">
        <is>
          <t>PHY Config</t>
        </is>
      </c>
      <c r="B33" s="10" t="n">
        <v>4</v>
      </c>
      <c r="C33" s="10" t="inlineStr">
        <is>
          <t>DWC_USB3_ENABLE_HSIC</t>
        </is>
      </c>
      <c r="D33" s="10" t="inlineStr">
        <is>
          <t>0</t>
        </is>
      </c>
      <c r="E33" s="10" t="inlineStr">
        <is>
          <t>0</t>
        </is>
      </c>
      <c r="F33" s="11" t="inlineStr">
        <is>
          <t>一致</t>
        </is>
      </c>
      <c r="G33" s="10" t="inlineStr">
        <is>
          <t>HSP_DWC_usb3_params.v:720</t>
        </is>
      </c>
    </row>
    <row r="34" ht="34" customHeight="1">
      <c r="A34" s="10" t="inlineStr">
        <is>
          <t>PHY Config</t>
        </is>
      </c>
      <c r="B34" s="10" t="n">
        <v>5</v>
      </c>
      <c r="C34" s="10" t="inlineStr">
        <is>
          <t>DWC_USB3_FAST_TAT_EN</t>
        </is>
      </c>
      <c r="D34" s="10" t="inlineStr">
        <is>
          <t>0</t>
        </is>
      </c>
      <c r="E34" s="10" t="inlineStr">
        <is>
          <t>0</t>
        </is>
      </c>
      <c r="F34" s="11" t="inlineStr">
        <is>
          <t>一致</t>
        </is>
      </c>
      <c r="G34" s="10" t="inlineStr">
        <is>
          <t>HSP_DWC_usb3_params.v:797</t>
        </is>
      </c>
    </row>
    <row r="35" ht="34" customHeight="1">
      <c r="A35" s="10" t="inlineStr">
        <is>
          <t>PHY Config</t>
        </is>
      </c>
      <c r="B35" s="10" t="n">
        <v>6</v>
      </c>
      <c r="C35" s="10" t="inlineStr">
        <is>
          <t>DWC_USB3_VENDOR_CTL_INTERFACE</t>
        </is>
      </c>
      <c r="D35" s="10" t="inlineStr">
        <is>
          <t>0</t>
        </is>
      </c>
      <c r="E35" s="10" t="inlineStr">
        <is>
          <t>0</t>
        </is>
      </c>
      <c r="F35" s="11" t="inlineStr">
        <is>
          <t>一致</t>
        </is>
      </c>
      <c r="G35" s="10" t="inlineStr">
        <is>
          <t>HSP_DWC_usb3_params.v:816</t>
        </is>
      </c>
    </row>
    <row r="36" ht="34" customHeight="1">
      <c r="A36" s="10" t="inlineStr">
        <is>
          <t>PHY Config</t>
        </is>
      </c>
      <c r="B36" s="10" t="n">
        <v>7</v>
      </c>
      <c r="C36" s="10" t="inlineStr">
        <is>
          <t>DWC_USB3_GUSB2PHYCFG_INIT</t>
        </is>
      </c>
      <c r="D36" s="10" t="inlineStr">
        <is>
          <t>32'h40102400</t>
        </is>
      </c>
      <c r="E36" s="10" t="inlineStr">
        <is>
          <t>32'h40102400</t>
        </is>
      </c>
      <c r="F36" s="11" t="inlineStr">
        <is>
          <t>一致</t>
        </is>
      </c>
      <c r="G36" s="10" t="inlineStr">
        <is>
          <t>HSP_DWC_usb3_params.v:929</t>
        </is>
      </c>
    </row>
    <row r="37" ht="34" customHeight="1">
      <c r="A37" s="10" t="inlineStr">
        <is>
          <t>PHY Config</t>
        </is>
      </c>
      <c r="B37" s="10" t="n">
        <v>8</v>
      </c>
      <c r="C37" s="10" t="inlineStr">
        <is>
          <t>DWC_USB3_GUSB3PIPECTL_INIT</t>
        </is>
      </c>
      <c r="D37" s="10" t="inlineStr">
        <is>
          <t>32'h1080002</t>
        </is>
      </c>
      <c r="E37" s="10" t="inlineStr">
        <is>
          <t>32'h1080002</t>
        </is>
      </c>
      <c r="F37" s="11" t="inlineStr">
        <is>
          <t>一致</t>
        </is>
      </c>
      <c r="G37" s="10" t="inlineStr">
        <is>
          <t>HSP_DWC_usb3_params.v:1027</t>
        </is>
      </c>
    </row>
    <row r="38" ht="34" customHeight="1">
      <c r="A38" s="10" t="inlineStr">
        <is>
          <t>PHY Config</t>
        </is>
      </c>
      <c r="B38" s="10" t="n">
        <v>9</v>
      </c>
      <c r="C38" s="10" t="inlineStr">
        <is>
          <t>DWC_USB3_PIPE_RXTERM_RESET_VAL</t>
        </is>
      </c>
      <c r="D38" s="10" t="inlineStr">
        <is>
          <t>0</t>
        </is>
      </c>
      <c r="E38" s="10" t="inlineStr">
        <is>
          <t>0</t>
        </is>
      </c>
      <c r="F38" s="11" t="inlineStr">
        <is>
          <t>一致</t>
        </is>
      </c>
      <c r="G38" s="10" t="inlineStr">
        <is>
          <t>HSP_DWC_usb3_params.v:1036</t>
        </is>
      </c>
    </row>
    <row r="39" ht="34" customHeight="1">
      <c r="A39" s="10" t="inlineStr">
        <is>
          <t>PHY Config</t>
        </is>
      </c>
      <c r="B39" s="10" t="n">
        <v>10</v>
      </c>
      <c r="C39" s="10" t="inlineStr">
        <is>
          <t>DWC_USB3_RXDET_IN_P3_DS</t>
        </is>
      </c>
      <c r="D39" s="10" t="inlineStr">
        <is>
          <t>1</t>
        </is>
      </c>
      <c r="E39" s="10" t="inlineStr">
        <is>
          <t>1</t>
        </is>
      </c>
      <c r="F39" s="11" t="inlineStr">
        <is>
          <t>一致</t>
        </is>
      </c>
      <c r="G39" s="10" t="inlineStr">
        <is>
          <t>HSP_DWC_usb3_params.v:1063</t>
        </is>
      </c>
    </row>
    <row r="40" ht="34" customHeight="1">
      <c r="A40" s="10" t="inlineStr">
        <is>
          <t>PHY Config</t>
        </is>
      </c>
      <c r="B40" s="10" t="n">
        <v>11</v>
      </c>
      <c r="C40" s="10" t="inlineStr">
        <is>
          <t>DWC_USB3_SUSPEND_ON_DISCONNECT_EN</t>
        </is>
      </c>
      <c r="D40" s="10" t="inlineStr">
        <is>
          <t>1</t>
        </is>
      </c>
      <c r="E40" s="10" t="inlineStr">
        <is>
          <t>1</t>
        </is>
      </c>
      <c r="F40" s="11" t="inlineStr">
        <is>
          <t>一致</t>
        </is>
      </c>
      <c r="G40" s="10" t="inlineStr">
        <is>
          <t>HSP_DWC_usb3_params.v:1050</t>
        </is>
      </c>
    </row>
    <row r="41" ht="34" customHeight="1">
      <c r="A41" s="10" t="inlineStr">
        <is>
          <t>PHY Config</t>
        </is>
      </c>
      <c r="B41" s="10" t="n">
        <v>12</v>
      </c>
      <c r="C41" s="10" t="inlineStr">
        <is>
          <t>DWC_USB3_NUM_SSIC_PORTS</t>
        </is>
      </c>
      <c r="D41" s="10" t="inlineStr">
        <is>
          <t>0</t>
        </is>
      </c>
      <c r="E41" s="10" t="inlineStr">
        <is>
          <t>0</t>
        </is>
      </c>
      <c r="F41" s="11" t="inlineStr">
        <is>
          <t>一致</t>
        </is>
      </c>
      <c r="G41" s="10" t="inlineStr">
        <is>
          <t>HSP_DWC_usb3_params.v:3835</t>
        </is>
      </c>
    </row>
    <row r="42" ht="34" customHeight="1">
      <c r="A42" s="10" t="inlineStr">
        <is>
          <t>PHY Config</t>
        </is>
      </c>
      <c r="B42" s="10" t="n">
        <v>13</v>
      </c>
      <c r="C42" s="10" t="inlineStr">
        <is>
          <t>DWC_USB3_SSIC_GEAR</t>
        </is>
      </c>
      <c r="D42" s="10" t="inlineStr">
        <is>
          <t>3</t>
        </is>
      </c>
      <c r="E42" s="10" t="inlineStr">
        <is>
          <t>3</t>
        </is>
      </c>
      <c r="F42" s="11" t="inlineStr">
        <is>
          <t>一致</t>
        </is>
      </c>
      <c r="G42" s="10" t="inlineStr">
        <is>
          <t>HSP_DWC_usb3_params.v:3846</t>
        </is>
      </c>
    </row>
    <row r="43" ht="34" customHeight="1">
      <c r="A43" s="10" t="inlineStr">
        <is>
          <t>PHY Config</t>
        </is>
      </c>
      <c r="B43" s="10" t="n">
        <v>14</v>
      </c>
      <c r="C43" s="10" t="inlineStr">
        <is>
          <t>DWC_USB3_SSIC_NUM_LANE</t>
        </is>
      </c>
      <c r="D43" s="10" t="inlineStr">
        <is>
          <t>1</t>
        </is>
      </c>
      <c r="E43" s="10" t="inlineStr">
        <is>
          <t>1</t>
        </is>
      </c>
      <c r="F43" s="11" t="inlineStr">
        <is>
          <t>一致</t>
        </is>
      </c>
      <c r="G43" s="10" t="inlineStr">
        <is>
          <t>HSP_DWC_usb3_params.v:5686</t>
        </is>
      </c>
    </row>
    <row r="44" ht="34" customHeight="1">
      <c r="A44" s="10" t="inlineStr">
        <is>
          <t>PHY Config</t>
        </is>
      </c>
      <c r="B44" s="10" t="n">
        <v>15</v>
      </c>
      <c r="C44" s="10" t="inlineStr">
        <is>
          <t>DWC_USB3_RMMI_DATA_WIDTH</t>
        </is>
      </c>
      <c r="D44" s="10" t="inlineStr">
        <is>
          <t>40</t>
        </is>
      </c>
      <c r="E44" s="10" t="inlineStr">
        <is>
          <t>40</t>
        </is>
      </c>
      <c r="F44" s="11" t="inlineStr">
        <is>
          <t>一致</t>
        </is>
      </c>
      <c r="G44" s="10" t="inlineStr">
        <is>
          <t>HSP_DWC_usb3_params.v:5697</t>
        </is>
      </c>
    </row>
    <row r="45" ht="34" customHeight="1">
      <c r="A45" s="10" t="inlineStr">
        <is>
          <t>PHY Config</t>
        </is>
      </c>
      <c r="B45" s="10" t="n">
        <v>16</v>
      </c>
      <c r="C45" s="10" t="inlineStr">
        <is>
          <t>DWC_USB3_GUSB3RMMICTL_INIT</t>
        </is>
      </c>
      <c r="D45" s="10" t="inlineStr">
        <is>
          <t>32'h3800e4</t>
        </is>
      </c>
      <c r="E45" s="10" t="inlineStr">
        <is>
          <t>32'h3800e4</t>
        </is>
      </c>
      <c r="F45" s="11" t="inlineStr">
        <is>
          <t>一致</t>
        </is>
      </c>
      <c r="G45" s="10" t="inlineStr">
        <is>
          <t>HSP_DWC_usb3_params.v:5724</t>
        </is>
      </c>
    </row>
    <row r="46" ht="34" customHeight="1">
      <c r="A46" s="10" t="inlineStr">
        <is>
          <t>PHY Config</t>
        </is>
      </c>
      <c r="B46" s="10" t="n">
        <v>17</v>
      </c>
      <c r="C46" s="10" t="inlineStr">
        <is>
          <t>DWC_USB3_SSIC_NON_SNPS_MPHY</t>
        </is>
      </c>
      <c r="D46" s="10" t="inlineStr">
        <is>
          <t>0</t>
        </is>
      </c>
      <c r="E46" s="10" t="inlineStr">
        <is>
          <t>0</t>
        </is>
      </c>
      <c r="F46" s="11" t="inlineStr">
        <is>
          <t>一致</t>
        </is>
      </c>
      <c r="G46" s="10" t="inlineStr">
        <is>
          <t>HSP_DWC_usb3_params.v:5752</t>
        </is>
      </c>
    </row>
    <row r="47" ht="34" customHeight="1">
      <c r="A47" s="10" t="inlineStr">
        <is>
          <t>PHY Config</t>
        </is>
      </c>
      <c r="B47" s="10" t="n">
        <v>18</v>
      </c>
      <c r="C47" s="10" t="inlineStr">
        <is>
          <t>DWC_USB3_SSIC_ROM_DEPTH</t>
        </is>
      </c>
      <c r="D47" s="10" t="inlineStr">
        <is>
          <t>0</t>
        </is>
      </c>
      <c r="E47" s="10" t="inlineStr">
        <is>
          <t>0</t>
        </is>
      </c>
      <c r="F47" s="11" t="inlineStr">
        <is>
          <t>一致</t>
        </is>
      </c>
      <c r="G47" s="10" t="inlineStr">
        <is>
          <t>HSP_DWC_usb3_params.v:5767</t>
        </is>
      </c>
    </row>
    <row r="48" ht="34" customHeight="1">
      <c r="A48" s="10" t="inlineStr">
        <is>
          <t>PHY Config</t>
        </is>
      </c>
      <c r="B48" s="10" t="n">
        <v>19</v>
      </c>
      <c r="C48" s="10" t="inlineStr">
        <is>
          <t>DWC_USB3_SSIC_ROM_RRAP_START_DEPTH</t>
        </is>
      </c>
      <c r="D48" s="10" t="inlineStr">
        <is>
          <t>0</t>
        </is>
      </c>
      <c r="E48" s="10" t="inlineStr">
        <is>
          <t>0</t>
        </is>
      </c>
      <c r="F48" s="11" t="inlineStr">
        <is>
          <t>一致</t>
        </is>
      </c>
      <c r="G48" s="10" t="inlineStr">
        <is>
          <t>HSP_DWC_usb3_params.v:5781</t>
        </is>
      </c>
    </row>
    <row r="49" ht="34" customHeight="1">
      <c r="A49" s="10" t="inlineStr">
        <is>
          <t>PHY Config</t>
        </is>
      </c>
      <c r="B49" s="10" t="n">
        <v>20</v>
      </c>
      <c r="C49" s="10" t="inlineStr">
        <is>
          <t>DWC_USB3_GSCFG_INIT</t>
        </is>
      </c>
      <c r="D49" s="10" t="inlineStr">
        <is>
          <t>32'h440</t>
        </is>
      </c>
      <c r="E49" s="10" t="inlineStr">
        <is>
          <t>32'h440</t>
        </is>
      </c>
      <c r="F49" s="11" t="inlineStr">
        <is>
          <t>一致</t>
        </is>
      </c>
      <c r="G49" s="10" t="inlineStr">
        <is>
          <t>HSP_DWC_usb3_params.v:5740</t>
        </is>
      </c>
    </row>
    <row r="50" ht="34" customHeight="1">
      <c r="A50" s="10" t="inlineStr">
        <is>
          <t>Device Config</t>
        </is>
      </c>
      <c r="B50" s="10" t="n">
        <v>2</v>
      </c>
      <c r="C50" s="10" t="inlineStr">
        <is>
          <t>DWC_USB3_DEVICE_NUM_INT</t>
        </is>
      </c>
      <c r="D50" s="10" t="inlineStr">
        <is>
          <t>1</t>
        </is>
      </c>
      <c r="E50" s="10" t="inlineStr">
        <is>
          <t>1</t>
        </is>
      </c>
      <c r="F50" s="11" t="inlineStr">
        <is>
          <t>一致</t>
        </is>
      </c>
      <c r="G50" s="10" t="inlineStr">
        <is>
          <t>HSP_DWC_usb3_params.v:1091</t>
        </is>
      </c>
    </row>
    <row r="51" ht="34" customHeight="1">
      <c r="A51" s="10" t="inlineStr">
        <is>
          <t>Device Config</t>
        </is>
      </c>
      <c r="B51" s="10" t="n">
        <v>3</v>
      </c>
      <c r="C51" s="10" t="inlineStr">
        <is>
          <t>DWC_USB3_NUM_EPS</t>
        </is>
      </c>
      <c r="D51" s="10" t="inlineStr">
        <is>
          <t>16</t>
        </is>
      </c>
      <c r="E51" s="10" t="inlineStr">
        <is>
          <t>16</t>
        </is>
      </c>
      <c r="F51" s="11" t="inlineStr">
        <is>
          <t>一致</t>
        </is>
      </c>
      <c r="G51" s="10" t="inlineStr">
        <is>
          <t>HSP_DWC_usb3_params.v:1114</t>
        </is>
      </c>
    </row>
    <row r="52" ht="34" customHeight="1">
      <c r="A52" s="10" t="inlineStr">
        <is>
          <t>Device Config</t>
        </is>
      </c>
      <c r="B52" s="10" t="n">
        <v>4</v>
      </c>
      <c r="C52" s="10" t="inlineStr">
        <is>
          <t>DWC_USB3_NUM_IN_EPS</t>
        </is>
      </c>
      <c r="D52" s="10" t="inlineStr">
        <is>
          <t>8</t>
        </is>
      </c>
      <c r="E52" s="10" t="inlineStr">
        <is>
          <t>8</t>
        </is>
      </c>
      <c r="F52" s="11" t="inlineStr">
        <is>
          <t>一致</t>
        </is>
      </c>
      <c r="G52" s="10" t="inlineStr">
        <is>
          <t>HSP_DWC_usb3_params.v:1129</t>
        </is>
      </c>
    </row>
    <row r="53" ht="34" customHeight="1">
      <c r="A53" s="10" t="inlineStr">
        <is>
          <t>Device Config</t>
        </is>
      </c>
      <c r="B53" s="10" t="n">
        <v>5</v>
      </c>
      <c r="C53" s="10" t="inlineStr">
        <is>
          <t>DWC_USB3_CACHE_TRBS_PER_TRANSFER</t>
        </is>
      </c>
      <c r="D53" s="10" t="inlineStr">
        <is>
          <t>16</t>
        </is>
      </c>
      <c r="E53" s="10" t="inlineStr">
        <is>
          <t>16</t>
        </is>
      </c>
      <c r="F53" s="11" t="inlineStr">
        <is>
          <t>一致</t>
        </is>
      </c>
      <c r="G53" s="10" t="inlineStr">
        <is>
          <t>HSP_DWC_usb3_params.v:1172</t>
        </is>
      </c>
    </row>
    <row r="54" ht="34" customHeight="1">
      <c r="A54" s="10" t="inlineStr">
        <is>
          <t>Device Config</t>
        </is>
      </c>
      <c r="B54" s="10" t="n">
        <v>6</v>
      </c>
      <c r="C54" s="10" t="inlineStr">
        <is>
          <t>DWC_USB3_EXT_BUFF_CONTROL</t>
        </is>
      </c>
      <c r="D54" s="10" t="inlineStr">
        <is>
          <t>0</t>
        </is>
      </c>
      <c r="E54" s="10" t="inlineStr">
        <is>
          <t>0</t>
        </is>
      </c>
      <c r="F54" s="11" t="inlineStr">
        <is>
          <t>一致</t>
        </is>
      </c>
      <c r="G54" s="10" t="inlineStr">
        <is>
          <t>HSP_DWC_usb3_params.v:1213</t>
        </is>
      </c>
    </row>
    <row r="55" ht="34" customHeight="1">
      <c r="A55" s="10" t="inlineStr">
        <is>
          <t>Device Config</t>
        </is>
      </c>
      <c r="B55" s="10" t="n">
        <v>7</v>
      </c>
      <c r="C55" s="10" t="inlineStr">
        <is>
          <t>DWC_USB3_DEV_RXF_MAX_PACKET_SIZE</t>
        </is>
      </c>
      <c r="D55" s="10" t="inlineStr">
        <is>
          <t>1024</t>
        </is>
      </c>
      <c r="E55" s="10" t="inlineStr">
        <is>
          <t>1024</t>
        </is>
      </c>
      <c r="F55" s="11" t="inlineStr">
        <is>
          <t>一致</t>
        </is>
      </c>
      <c r="G55" s="10" t="inlineStr">
        <is>
          <t>HSP_DWC_usb3_params.v:1233</t>
        </is>
      </c>
    </row>
    <row r="56" ht="34" customHeight="1">
      <c r="A56" s="10" t="inlineStr">
        <is>
          <t>Device Config</t>
        </is>
      </c>
      <c r="B56" s="10" t="n">
        <v>8</v>
      </c>
      <c r="C56" s="10" t="inlineStr">
        <is>
          <t>DWC_USB3_DEV_RXF_NUM_MAX_PACKETS</t>
        </is>
      </c>
      <c r="D56" s="10" t="inlineStr">
        <is>
          <t>3</t>
        </is>
      </c>
      <c r="E56" s="10" t="inlineStr">
        <is>
          <t>3</t>
        </is>
      </c>
      <c r="F56" s="11" t="inlineStr">
        <is>
          <t>一致</t>
        </is>
      </c>
      <c r="G56" s="10" t="inlineStr">
        <is>
          <t>HSP_DWC_usb3_params.v:1252</t>
        </is>
      </c>
    </row>
    <row r="57" ht="34" customHeight="1">
      <c r="A57" s="10" t="inlineStr">
        <is>
          <t>Device Config</t>
        </is>
      </c>
      <c r="B57" s="10" t="n">
        <v>9</v>
      </c>
      <c r="C57" s="10" t="inlineStr">
        <is>
          <t>DWC_USB3_DEV_RXF_DEPTH</t>
        </is>
      </c>
      <c r="D57" s="10" t="inlineStr">
        <is>
          <t>778</t>
        </is>
      </c>
      <c r="E57" s="10" t="inlineStr">
        <is>
          <t>778</t>
        </is>
      </c>
      <c r="F57" s="11" t="inlineStr">
        <is>
          <t>一致</t>
        </is>
      </c>
      <c r="G57" s="10" t="inlineStr">
        <is>
          <t>HSP_DWC_usb3_params.v:1284</t>
        </is>
      </c>
    </row>
    <row r="58" ht="34" customHeight="1">
      <c r="A58" s="10" t="inlineStr">
        <is>
          <t>Device Config</t>
        </is>
      </c>
      <c r="B58" s="10" t="n">
        <v>10</v>
      </c>
      <c r="C58" s="10" t="inlineStr">
        <is>
          <t>DWC_USB3_DEV_TXF0_DEPTH</t>
        </is>
      </c>
      <c r="D58" s="10" t="inlineStr">
        <is>
          <t>130</t>
        </is>
      </c>
      <c r="E58" s="10" t="inlineStr">
        <is>
          <t>130</t>
        </is>
      </c>
      <c r="F58" s="11" t="inlineStr">
        <is>
          <t>一致</t>
        </is>
      </c>
      <c r="G58" s="10" t="inlineStr">
        <is>
          <t>HSP_DWC_usb3_params.v:1301</t>
        </is>
      </c>
    </row>
    <row r="59" ht="34" customHeight="1">
      <c r="A59" s="10" t="inlineStr">
        <is>
          <t>Device Config</t>
        </is>
      </c>
      <c r="B59" s="10" t="n">
        <v>11</v>
      </c>
      <c r="C59" s="10" t="inlineStr">
        <is>
          <t>DWC_USB3_DEV_TXFn_MAX_PACKET_SIZE</t>
        </is>
      </c>
      <c r="D59" s="10" t="inlineStr">
        <is>
          <t>1024</t>
        </is>
      </c>
      <c r="E59" s="10" t="inlineStr">
        <is>
          <t>n=1..15: 1024</t>
        </is>
      </c>
      <c r="F59" s="9" t="inlineStr">
        <is>
          <t>已更新：通配 TxFn 展开为全部 n=1..15 的 RTL 值</t>
        </is>
      </c>
      <c r="G59" s="10" t="inlineStr">
        <is>
          <t>HSP_DWC_usb3_params.v:1330, 1401, 1473 ... 2339</t>
        </is>
      </c>
    </row>
    <row r="60" ht="34" customHeight="1">
      <c r="A60" s="10" t="inlineStr">
        <is>
          <t>Device Config</t>
        </is>
      </c>
      <c r="B60" s="10" t="n">
        <v>12</v>
      </c>
      <c r="C60" s="10" t="inlineStr">
        <is>
          <t>DWC_USB3_DEV_TXFn_BURST_EN</t>
        </is>
      </c>
      <c r="D60" s="10" t="inlineStr">
        <is>
          <t>1</t>
        </is>
      </c>
      <c r="E60" s="10" t="inlineStr">
        <is>
          <t>n=1,2: 1; n=3..15: 0</t>
        </is>
      </c>
      <c r="F60" s="9" t="inlineStr">
        <is>
          <t>已更新：通配 TxFn 展开为全部 n=1..15 的 RTL 值</t>
        </is>
      </c>
      <c r="G60" s="10" t="inlineStr">
        <is>
          <t>HSP_DWC_usb3_params.v:1315, 1385, 1457 ... 2323</t>
        </is>
      </c>
    </row>
    <row r="61" ht="34" customHeight="1">
      <c r="A61" s="10" t="inlineStr">
        <is>
          <t>Device Config</t>
        </is>
      </c>
      <c r="B61" s="10" t="n">
        <v>13</v>
      </c>
      <c r="C61" s="10" t="inlineStr">
        <is>
          <t>DWC_USB3_DEV_TXFn_NUM_MAX_PACKETS</t>
        </is>
      </c>
      <c r="D61" s="10" t="inlineStr">
        <is>
          <t>3</t>
        </is>
      </c>
      <c r="E61" s="10" t="inlineStr">
        <is>
          <t>n=1,2: 3; n=3..15: 2</t>
        </is>
      </c>
      <c r="F61" s="9" t="inlineStr">
        <is>
          <t>已更新：通配 TxFn 展开为全部 n=1..15 的 RTL 值</t>
        </is>
      </c>
      <c r="G61" s="10" t="inlineStr">
        <is>
          <t>HSP_DWC_usb3_params.v:1351, 1425, 1498 ... 2363</t>
        </is>
      </c>
    </row>
    <row r="62" ht="34" customHeight="1">
      <c r="A62" s="10" t="inlineStr">
        <is>
          <t>Device Config</t>
        </is>
      </c>
      <c r="B62" s="10" t="n">
        <v>14</v>
      </c>
      <c r="C62" s="10" t="inlineStr">
        <is>
          <t>DWC_USB3_DEV_TXFn_DEPTH</t>
        </is>
      </c>
      <c r="D62" s="10" t="inlineStr">
        <is>
          <t>772</t>
        </is>
      </c>
      <c r="E62" s="10" t="inlineStr">
        <is>
          <t>n=1,2: 772; n=3..7: 515; n=8..15: 0</t>
        </is>
      </c>
      <c r="F62" s="9" t="inlineStr">
        <is>
          <t>已更新：通配 TxFn 展开为全部 n=1..15 的 RTL 值</t>
        </is>
      </c>
      <c r="G62" s="10" t="inlineStr">
        <is>
          <t>HSP_DWC_usb3_params.v:1370, 1443, 1516 ... 2381</t>
        </is>
      </c>
    </row>
    <row r="63" ht="34" customHeight="1">
      <c r="A63" s="10" t="inlineStr">
        <is>
          <t>Host Config</t>
        </is>
      </c>
      <c r="B63" s="10" t="n">
        <v>2</v>
      </c>
      <c r="C63" s="10" t="inlineStr">
        <is>
          <t>DWC_USB3_EN_DBC</t>
        </is>
      </c>
      <c r="D63" s="10" t="inlineStr">
        <is>
          <t>0</t>
        </is>
      </c>
      <c r="E63" s="10" t="inlineStr">
        <is>
          <t>0</t>
        </is>
      </c>
      <c r="F63" s="11" t="inlineStr">
        <is>
          <t>一致</t>
        </is>
      </c>
      <c r="G63" s="10" t="inlineStr">
        <is>
          <t>HSP_DWC_usb3_params.v:2507</t>
        </is>
      </c>
    </row>
    <row r="64" ht="34" customHeight="1">
      <c r="A64" s="10" t="inlineStr">
        <is>
          <t>Host Config</t>
        </is>
      </c>
      <c r="B64" s="10" t="n">
        <v>3</v>
      </c>
      <c r="C64" s="10" t="inlineStr">
        <is>
          <t>DWC_USB3_HOST_NUM_INTERRUPTER_SUPT</t>
        </is>
      </c>
      <c r="D64" s="10" t="inlineStr">
        <is>
          <t>1</t>
        </is>
      </c>
      <c r="E64" s="10" t="inlineStr">
        <is>
          <t>1</t>
        </is>
      </c>
      <c r="F64" s="11" t="inlineStr">
        <is>
          <t>一致</t>
        </is>
      </c>
      <c r="G64" s="10" t="inlineStr">
        <is>
          <t>HSP_DWC_usb3_params.v:2532</t>
        </is>
      </c>
    </row>
    <row r="65" ht="34" customHeight="1">
      <c r="A65" s="10" t="inlineStr">
        <is>
          <t>Host Config</t>
        </is>
      </c>
      <c r="B65" s="10" t="n">
        <v>4</v>
      </c>
      <c r="C65" s="10" t="inlineStr">
        <is>
          <t>DWC_USB3_EN_SEPARATE_DESC_QUEUES</t>
        </is>
      </c>
      <c r="D65" s="10" t="inlineStr">
        <is>
          <t>0</t>
        </is>
      </c>
      <c r="E65" s="10" t="inlineStr">
        <is>
          <t>0</t>
        </is>
      </c>
      <c r="F65" s="11" t="inlineStr">
        <is>
          <t>一致</t>
        </is>
      </c>
      <c r="G65" s="10" t="inlineStr">
        <is>
          <t>HSP_DWC_usb3_params.v:2558</t>
        </is>
      </c>
    </row>
    <row r="66" ht="34" customHeight="1">
      <c r="A66" s="10" t="inlineStr">
        <is>
          <t>Host Config</t>
        </is>
      </c>
      <c r="B66" s="10" t="n">
        <v>5</v>
      </c>
      <c r="C66" s="10" t="inlineStr">
        <is>
          <t>DWC_USB3_HOST_NUM_U2_ROOT_PORTS</t>
        </is>
      </c>
      <c r="D66" s="10" t="inlineStr">
        <is>
          <t>1</t>
        </is>
      </c>
      <c r="E66" s="10" t="inlineStr">
        <is>
          <t>1</t>
        </is>
      </c>
      <c r="F66" s="11" t="inlineStr">
        <is>
          <t>一致</t>
        </is>
      </c>
      <c r="G66" s="10" t="inlineStr">
        <is>
          <t>HSP_DWC_usb3_params.v:2569</t>
        </is>
      </c>
    </row>
    <row r="67" ht="34" customHeight="1">
      <c r="A67" s="10" t="inlineStr">
        <is>
          <t>Host Config</t>
        </is>
      </c>
      <c r="B67" s="10" t="n">
        <v>6</v>
      </c>
      <c r="C67" s="10" t="inlineStr">
        <is>
          <t>DWC_USB3_HOST_NUM_U3_ROOT_PORTS</t>
        </is>
      </c>
      <c r="D67" s="10" t="inlineStr">
        <is>
          <t>1</t>
        </is>
      </c>
      <c r="E67" s="10" t="inlineStr">
        <is>
          <t>1</t>
        </is>
      </c>
      <c r="F67" s="11" t="inlineStr">
        <is>
          <t>一致</t>
        </is>
      </c>
      <c r="G67" s="10" t="inlineStr">
        <is>
          <t>HSP_DWC_usb3_params.v:2590</t>
        </is>
      </c>
    </row>
    <row r="68" ht="34" customHeight="1">
      <c r="A68" s="10" t="inlineStr">
        <is>
          <t>Host Config</t>
        </is>
      </c>
      <c r="B68" s="10" t="n">
        <v>7</v>
      </c>
      <c r="C68" s="10" t="inlineStr">
        <is>
          <t>DWC_USB3_NUM_DEVICE_SUPT</t>
        </is>
      </c>
      <c r="D68" s="10" t="inlineStr">
        <is>
          <t>64</t>
        </is>
      </c>
      <c r="E68" s="10" t="inlineStr">
        <is>
          <t>64</t>
        </is>
      </c>
      <c r="F68" s="11" t="inlineStr">
        <is>
          <t>一致</t>
        </is>
      </c>
      <c r="G68" s="10" t="inlineStr">
        <is>
          <t>HSP_DWC_usb3_params.v:2606</t>
        </is>
      </c>
    </row>
    <row r="69" ht="34" customHeight="1">
      <c r="A69" s="10" t="inlineStr">
        <is>
          <t>Host Config</t>
        </is>
      </c>
      <c r="B69" s="10" t="n">
        <v>8</v>
      </c>
      <c r="C69" s="10" t="inlineStr">
        <is>
          <t>DWC_USB3_HOST_NUM_PERIODIC_EP</t>
        </is>
      </c>
      <c r="D69" s="10" t="inlineStr">
        <is>
          <t>32</t>
        </is>
      </c>
      <c r="E69" s="10" t="inlineStr">
        <is>
          <t>32</t>
        </is>
      </c>
      <c r="F69" s="11" t="inlineStr">
        <is>
          <t>一致</t>
        </is>
      </c>
      <c r="G69" s="10" t="inlineStr">
        <is>
          <t>HSP_DWC_usb3_params.v:2633</t>
        </is>
      </c>
    </row>
    <row r="70" ht="34" customHeight="1">
      <c r="A70" s="10" t="inlineStr">
        <is>
          <t>Host Config</t>
        </is>
      </c>
      <c r="B70" s="10" t="n">
        <v>9</v>
      </c>
      <c r="C70" s="10" t="inlineStr">
        <is>
          <t>DWC_USB3_FREECLK_USB2_EXIST</t>
        </is>
      </c>
      <c r="D70" s="10" t="inlineStr">
        <is>
          <t>1</t>
        </is>
      </c>
      <c r="E70" s="10" t="inlineStr">
        <is>
          <t>1</t>
        </is>
      </c>
      <c r="F70" s="11" t="inlineStr">
        <is>
          <t>一致</t>
        </is>
      </c>
      <c r="G70" s="10" t="inlineStr">
        <is>
          <t>HSP_DWC_usb3_params.v:842</t>
        </is>
      </c>
    </row>
    <row r="71" ht="34" customHeight="1">
      <c r="A71" s="10" t="inlineStr">
        <is>
          <t>Host Config</t>
        </is>
      </c>
      <c r="B71" s="10" t="n">
        <v>10</v>
      </c>
      <c r="C71" s="10" t="inlineStr">
        <is>
          <t>DWC_USB3_NUM_SS_USB_INSTANCES</t>
        </is>
      </c>
      <c r="D71" s="10" t="inlineStr">
        <is>
          <t>1</t>
        </is>
      </c>
      <c r="E71" s="10" t="inlineStr">
        <is>
          <t>1</t>
        </is>
      </c>
      <c r="F71" s="11" t="inlineStr">
        <is>
          <t>一致</t>
        </is>
      </c>
      <c r="G71" s="10" t="inlineStr">
        <is>
          <t>HSP_DWC_usb3_params.v:2677</t>
        </is>
      </c>
    </row>
    <row r="72" ht="34" customHeight="1">
      <c r="A72" s="10" t="inlineStr">
        <is>
          <t>Host Config</t>
        </is>
      </c>
      <c r="B72" s="10" t="n">
        <v>11</v>
      </c>
      <c r="C72" s="10" t="inlineStr">
        <is>
          <t>DWC_USB3_NUM_HS_USB_INSTANCES</t>
        </is>
      </c>
      <c r="D72" s="10" t="inlineStr">
        <is>
          <t>1</t>
        </is>
      </c>
      <c r="E72" s="10" t="inlineStr">
        <is>
          <t>1</t>
        </is>
      </c>
      <c r="F72" s="11" t="inlineStr">
        <is>
          <t>一致</t>
        </is>
      </c>
      <c r="G72" s="10" t="inlineStr">
        <is>
          <t>HSP_DWC_usb3_params.v:2696</t>
        </is>
      </c>
    </row>
    <row r="73" ht="34" customHeight="1">
      <c r="A73" s="10" t="inlineStr">
        <is>
          <t>Host Config</t>
        </is>
      </c>
      <c r="B73" s="10" t="n">
        <v>12</v>
      </c>
      <c r="C73" s="10" t="inlineStr">
        <is>
          <t>DWC_USB3_DBC_TRBS_PER_TRANSFER</t>
        </is>
      </c>
      <c r="D73" s="10" t="inlineStr">
        <is>
          <t>16</t>
        </is>
      </c>
      <c r="E73" s="10" t="inlineStr">
        <is>
          <t>16</t>
        </is>
      </c>
      <c r="F73" s="11" t="inlineStr">
        <is>
          <t>一致</t>
        </is>
      </c>
      <c r="G73" s="10" t="inlineStr">
        <is>
          <t>HSP_DWC_usb3_params.v:2726</t>
        </is>
      </c>
    </row>
    <row r="74" ht="34" customHeight="1">
      <c r="A74" s="10" t="inlineStr">
        <is>
          <t>Host Config</t>
        </is>
      </c>
      <c r="B74" s="10" t="n">
        <v>13</v>
      </c>
      <c r="C74" s="10" t="inlineStr">
        <is>
          <t>DWC_USB3_HOST_NUM_CACHE_EP_PER_SS_INSTANCE</t>
        </is>
      </c>
      <c r="D74" s="10" t="inlineStr">
        <is>
          <t>8</t>
        </is>
      </c>
      <c r="E74" s="10" t="inlineStr">
        <is>
          <t>8</t>
        </is>
      </c>
      <c r="F74" s="11" t="inlineStr">
        <is>
          <t>一致</t>
        </is>
      </c>
      <c r="G74" s="10" t="inlineStr">
        <is>
          <t>HSP_DWC_usb3_params.v:2739</t>
        </is>
      </c>
    </row>
    <row r="75" ht="34" customHeight="1">
      <c r="A75" s="10" t="inlineStr">
        <is>
          <t>Host Config</t>
        </is>
      </c>
      <c r="B75" s="10" t="n">
        <v>14</v>
      </c>
      <c r="C75" s="10" t="inlineStr">
        <is>
          <t>DWC_USB3_HOST_NUM_CACHE_TRB_PER_SS_EP</t>
        </is>
      </c>
      <c r="D75" s="10" t="inlineStr">
        <is>
          <t>16</t>
        </is>
      </c>
      <c r="E75" s="10" t="inlineStr">
        <is>
          <t>16</t>
        </is>
      </c>
      <c r="F75" s="11" t="inlineStr">
        <is>
          <t>一致</t>
        </is>
      </c>
      <c r="G75" s="10" t="inlineStr">
        <is>
          <t>HSP_DWC_usb3_params.v:2759</t>
        </is>
      </c>
    </row>
    <row r="76" ht="34" customHeight="1">
      <c r="A76" s="10" t="inlineStr">
        <is>
          <t>Host Config</t>
        </is>
      </c>
      <c r="B76" s="10" t="n">
        <v>15</v>
      </c>
      <c r="C76" s="10" t="inlineStr">
        <is>
          <t>DWC_USB3_HOST_NUM_CACHE_EP_PER_HS_INSTANCE</t>
        </is>
      </c>
      <c r="D76" s="10" t="inlineStr">
        <is>
          <t>10</t>
        </is>
      </c>
      <c r="E76" s="10" t="inlineStr">
        <is>
          <t>10</t>
        </is>
      </c>
      <c r="F76" s="11" t="inlineStr">
        <is>
          <t>一致</t>
        </is>
      </c>
      <c r="G76" s="10" t="inlineStr">
        <is>
          <t>HSP_DWC_usb3_params.v:2774</t>
        </is>
      </c>
    </row>
    <row r="77" ht="34" customHeight="1">
      <c r="A77" s="10" t="inlineStr">
        <is>
          <t>Host Config</t>
        </is>
      </c>
      <c r="B77" s="10" t="n">
        <v>16</v>
      </c>
      <c r="C77" s="10" t="inlineStr">
        <is>
          <t>DWC_USB3_HOST_NUM_CACHE_TRB_PER_HS_EP</t>
        </is>
      </c>
      <c r="D77" s="10" t="inlineStr">
        <is>
          <t>8</t>
        </is>
      </c>
      <c r="E77" s="10" t="inlineStr">
        <is>
          <t>8</t>
        </is>
      </c>
      <c r="F77" s="11" t="inlineStr">
        <is>
          <t>一致</t>
        </is>
      </c>
      <c r="G77" s="10" t="inlineStr">
        <is>
          <t>HSP_DWC_usb3_params.v:2796</t>
        </is>
      </c>
    </row>
    <row r="78" ht="34" customHeight="1">
      <c r="A78" s="10" t="inlineStr">
        <is>
          <t>Host Config</t>
        </is>
      </c>
      <c r="B78" s="10" t="n">
        <v>17</v>
      </c>
      <c r="C78" s="10" t="inlineStr">
        <is>
          <t>DWC_USB3_HOST_NUM_CACHE_EP_PER_FSLS_INSTANCE</t>
        </is>
      </c>
      <c r="D78" s="10" t="inlineStr">
        <is>
          <t>2</t>
        </is>
      </c>
      <c r="E78" s="10" t="inlineStr">
        <is>
          <t>2</t>
        </is>
      </c>
      <c r="F78" s="11" t="inlineStr">
        <is>
          <t>一致</t>
        </is>
      </c>
      <c r="G78" s="10" t="inlineStr">
        <is>
          <t>HSP_DWC_usb3_params.v:2809</t>
        </is>
      </c>
    </row>
    <row r="79" ht="34" customHeight="1">
      <c r="A79" s="10" t="inlineStr">
        <is>
          <t>Host Config</t>
        </is>
      </c>
      <c r="B79" s="10" t="n">
        <v>18</v>
      </c>
      <c r="C79" s="10" t="inlineStr">
        <is>
          <t>DWC_USB3_HOST_NUM_CACHE_TRB_PER_FSLS_EP</t>
        </is>
      </c>
      <c r="D79" s="10" t="inlineStr">
        <is>
          <t>8</t>
        </is>
      </c>
      <c r="E79" s="10" t="inlineStr">
        <is>
          <t>8</t>
        </is>
      </c>
      <c r="F79" s="11" t="inlineStr">
        <is>
          <t>一致</t>
        </is>
      </c>
      <c r="G79" s="10" t="inlineStr">
        <is>
          <t>HSP_DWC_usb3_params.v:2829</t>
        </is>
      </c>
    </row>
    <row r="80" ht="34" customHeight="1">
      <c r="A80" s="10" t="inlineStr">
        <is>
          <t>Host Config</t>
        </is>
      </c>
      <c r="B80" s="10" t="n">
        <v>19</v>
      </c>
      <c r="C80" s="10" t="inlineStr">
        <is>
          <t>DWC_USB3_NUM_RXF_SS_PKTS</t>
        </is>
      </c>
      <c r="D80" s="10" t="inlineStr">
        <is>
          <t>3</t>
        </is>
      </c>
      <c r="E80" s="10" t="inlineStr">
        <is>
          <t>3</t>
        </is>
      </c>
      <c r="F80" s="11" t="inlineStr">
        <is>
          <t>一致</t>
        </is>
      </c>
      <c r="G80" s="10" t="inlineStr">
        <is>
          <t>HSP_DWC_usb3_params.v:2846</t>
        </is>
      </c>
    </row>
    <row r="81" ht="34" customHeight="1">
      <c r="A81" s="10" t="inlineStr">
        <is>
          <t>Host Config</t>
        </is>
      </c>
      <c r="B81" s="10" t="n">
        <v>20</v>
      </c>
      <c r="C81" s="10" t="inlineStr">
        <is>
          <t>DWC_USB3_NUM_RXF_HS_PKTS</t>
        </is>
      </c>
      <c r="D81" s="10" t="inlineStr">
        <is>
          <t>2</t>
        </is>
      </c>
      <c r="E81" s="10" t="inlineStr">
        <is>
          <t>2</t>
        </is>
      </c>
      <c r="F81" s="11" t="inlineStr">
        <is>
          <t>一致</t>
        </is>
      </c>
      <c r="G81" s="10" t="inlineStr">
        <is>
          <t>HSP_DWC_usb3_params.v:2920</t>
        </is>
      </c>
    </row>
    <row r="82" ht="34" customHeight="1">
      <c r="A82" s="10" t="inlineStr">
        <is>
          <t>Host Config</t>
        </is>
      </c>
      <c r="B82" s="10" t="n">
        <v>21</v>
      </c>
      <c r="C82" s="10" t="inlineStr">
        <is>
          <t>DWC_USB3_NUM_RXF_FSLS_PKTS</t>
        </is>
      </c>
      <c r="D82" s="10" t="inlineStr">
        <is>
          <t>1</t>
        </is>
      </c>
      <c r="E82" s="10" t="inlineStr">
        <is>
          <t>1</t>
        </is>
      </c>
      <c r="F82" s="11" t="inlineStr">
        <is>
          <t>一致</t>
        </is>
      </c>
      <c r="G82" s="10" t="inlineStr">
        <is>
          <t>HSP_DWC_usb3_params.v:2940</t>
        </is>
      </c>
    </row>
    <row r="83" ht="34" customHeight="1">
      <c r="A83" s="10" t="inlineStr">
        <is>
          <t>Host Config</t>
        </is>
      </c>
      <c r="B83" s="10" t="n">
        <v>22</v>
      </c>
      <c r="C83" s="10" t="inlineStr">
        <is>
          <t>DWC_USB3_NUM_TXF_SS_PKTS</t>
        </is>
      </c>
      <c r="D83" s="10" t="inlineStr">
        <is>
          <t>4</t>
        </is>
      </c>
      <c r="E83" s="10" t="inlineStr">
        <is>
          <t>4</t>
        </is>
      </c>
      <c r="F83" s="11" t="inlineStr">
        <is>
          <t>一致</t>
        </is>
      </c>
      <c r="G83" s="10" t="inlineStr">
        <is>
          <t>HSP_DWC_usb3_params.v:2963</t>
        </is>
      </c>
    </row>
    <row r="84" ht="34" customHeight="1">
      <c r="A84" s="10" t="inlineStr">
        <is>
          <t>Host Config</t>
        </is>
      </c>
      <c r="B84" s="10" t="n">
        <v>23</v>
      </c>
      <c r="C84" s="10" t="inlineStr">
        <is>
          <t>DWC_USB3_NUM_TXF_HS_PKTS</t>
        </is>
      </c>
      <c r="D84" s="10" t="inlineStr">
        <is>
          <t>2</t>
        </is>
      </c>
      <c r="E84" s="10" t="inlineStr">
        <is>
          <t>2</t>
        </is>
      </c>
      <c r="F84" s="11" t="inlineStr">
        <is>
          <t>一致</t>
        </is>
      </c>
      <c r="G84" s="10" t="inlineStr">
        <is>
          <t>HSP_DWC_usb3_params.v:2983</t>
        </is>
      </c>
    </row>
    <row r="85" ht="34" customHeight="1">
      <c r="A85" s="10" t="inlineStr">
        <is>
          <t>Host Config</t>
        </is>
      </c>
      <c r="B85" s="10" t="n">
        <v>24</v>
      </c>
      <c r="C85" s="10" t="inlineStr">
        <is>
          <t>DWC_USB3_NUM_TXF_FSLS_PKTS</t>
        </is>
      </c>
      <c r="D85" s="10" t="inlineStr">
        <is>
          <t>1</t>
        </is>
      </c>
      <c r="E85" s="10" t="inlineStr">
        <is>
          <t>1</t>
        </is>
      </c>
      <c r="F85" s="11" t="inlineStr">
        <is>
          <t>一致</t>
        </is>
      </c>
      <c r="G85" s="10" t="inlineStr">
        <is>
          <t>HSP_DWC_usb3_params.v:3003</t>
        </is>
      </c>
    </row>
    <row r="86" ht="34" customHeight="1">
      <c r="A86" s="10" t="inlineStr">
        <is>
          <t>Hub Config</t>
        </is>
      </c>
      <c r="B86" s="10" t="n">
        <v>2</v>
      </c>
      <c r="C86" s="10" t="inlineStr">
        <is>
          <t>DWC_USB3_HUB_NUM_U3_PORTS</t>
        </is>
      </c>
      <c r="D86" s="10" t="inlineStr">
        <is>
          <t>4</t>
        </is>
      </c>
      <c r="E86" s="10" t="inlineStr">
        <is>
          <t>4</t>
        </is>
      </c>
      <c r="F86" s="11" t="inlineStr">
        <is>
          <t>一致</t>
        </is>
      </c>
      <c r="G86" s="10" t="inlineStr">
        <is>
          <t>HSP_DWC_usb3_params.v:3189</t>
        </is>
      </c>
    </row>
    <row r="87" ht="34" customHeight="1">
      <c r="A87" s="10" t="inlineStr">
        <is>
          <t>Hub Config</t>
        </is>
      </c>
      <c r="B87" s="10" t="n">
        <v>3</v>
      </c>
      <c r="C87" s="10" t="inlineStr">
        <is>
          <t>DWC_USB3_EN_HUB_SFLASH_SUPT</t>
        </is>
      </c>
      <c r="D87" s="10" t="inlineStr">
        <is>
          <t>0</t>
        </is>
      </c>
      <c r="E87" s="10" t="inlineStr">
        <is>
          <t>0</t>
        </is>
      </c>
      <c r="F87" s="11" t="inlineStr">
        <is>
          <t>一致</t>
        </is>
      </c>
      <c r="G87" s="10" t="inlineStr">
        <is>
          <t>HSP_DWC_usb3_params.v:3203</t>
        </is>
      </c>
    </row>
    <row r="88" ht="34" customHeight="1">
      <c r="A88" s="10" t="inlineStr">
        <is>
          <t>Hub Config</t>
        </is>
      </c>
      <c r="B88" s="10" t="n">
        <v>4</v>
      </c>
      <c r="C88" s="10" t="inlineStr">
        <is>
          <t>DWC_USB3_HUB_SFLASH_DIVFACTOR</t>
        </is>
      </c>
      <c r="D88" s="10" t="inlineStr">
        <is>
          <t>16</t>
        </is>
      </c>
      <c r="E88" s="10" t="inlineStr">
        <is>
          <t>16</t>
        </is>
      </c>
      <c r="F88" s="11" t="inlineStr">
        <is>
          <t>一致</t>
        </is>
      </c>
      <c r="G88" s="10" t="inlineStr">
        <is>
          <t>HSP_DWC_usb3_params.v:3215</t>
        </is>
      </c>
    </row>
    <row r="89" ht="34" customHeight="1">
      <c r="A89" s="10" t="inlineStr">
        <is>
          <t>Hub Config</t>
        </is>
      </c>
      <c r="B89" s="10" t="n">
        <v>5</v>
      </c>
      <c r="C89" s="10" t="inlineStr">
        <is>
          <t>DWC_USB3_JTAG_INTERFACE</t>
        </is>
      </c>
      <c r="D89" s="10" t="inlineStr">
        <is>
          <t>0</t>
        </is>
      </c>
      <c r="E89" s="10" t="inlineStr">
        <is>
          <t>0</t>
        </is>
      </c>
      <c r="F89" s="11" t="inlineStr">
        <is>
          <t>一致</t>
        </is>
      </c>
      <c r="G89" s="10" t="inlineStr">
        <is>
          <t>HSP_DWC_usb3_params.v:3224</t>
        </is>
      </c>
    </row>
    <row r="90" ht="34" customHeight="1">
      <c r="A90" s="10" t="inlineStr">
        <is>
          <t>Hub Config</t>
        </is>
      </c>
      <c r="B90" s="10" t="n">
        <v>6</v>
      </c>
      <c r="C90" s="10" t="inlineStr">
        <is>
          <t>DWC_USB3_HUB_NUM_RXHEADERS</t>
        </is>
      </c>
      <c r="D90" s="10" t="inlineStr">
        <is>
          <t>4</t>
        </is>
      </c>
      <c r="E90" s="10" t="inlineStr">
        <is>
          <t>4</t>
        </is>
      </c>
      <c r="F90" s="11" t="inlineStr">
        <is>
          <t>一致</t>
        </is>
      </c>
      <c r="G90" s="10" t="inlineStr">
        <is>
          <t>HSP_DWC_usb3_params.v:3233</t>
        </is>
      </c>
    </row>
    <row r="91" ht="34" customHeight="1">
      <c r="A91" s="10" t="inlineStr">
        <is>
          <t>Hub Config</t>
        </is>
      </c>
      <c r="B91" s="10" t="n">
        <v>7</v>
      </c>
      <c r="C91" s="10" t="inlineStr">
        <is>
          <t>DWC_USB3_HUB_NUM_TXHEADERS</t>
        </is>
      </c>
      <c r="D91" s="10" t="inlineStr">
        <is>
          <t>4</t>
        </is>
      </c>
      <c r="E91" s="10" t="inlineStr">
        <is>
          <t>4</t>
        </is>
      </c>
      <c r="F91" s="11" t="inlineStr">
        <is>
          <t>一致</t>
        </is>
      </c>
      <c r="G91" s="10" t="inlineStr">
        <is>
          <t>HSP_DWC_usb3_params.v:3242</t>
        </is>
      </c>
    </row>
    <row r="92" ht="34" customHeight="1">
      <c r="A92" s="10" t="inlineStr">
        <is>
          <t>Hub Config</t>
        </is>
      </c>
      <c r="B92" s="10" t="n">
        <v>8</v>
      </c>
      <c r="C92" s="10" t="inlineStr">
        <is>
          <t>DWC_USB3_HUB_NUM_UPSTRMRX_DATAPKTS</t>
        </is>
      </c>
      <c r="D92" s="10" t="inlineStr">
        <is>
          <t>1</t>
        </is>
      </c>
      <c r="E92" s="10" t="inlineStr">
        <is>
          <t>1</t>
        </is>
      </c>
      <c r="F92" s="11" t="inlineStr">
        <is>
          <t>一致</t>
        </is>
      </c>
      <c r="G92" s="10" t="inlineStr">
        <is>
          <t>HSP_DWC_usb3_params.v:3251</t>
        </is>
      </c>
    </row>
    <row r="93" ht="34" customHeight="1">
      <c r="A93" s="10" t="inlineStr">
        <is>
          <t>Hub Config</t>
        </is>
      </c>
      <c r="B93" s="10" t="n">
        <v>9</v>
      </c>
      <c r="C93" s="10" t="inlineStr">
        <is>
          <t>DWC_USB3_HUB_NUM_UPSTRMTX_DATAPKTS</t>
        </is>
      </c>
      <c r="D93" s="10" t="inlineStr">
        <is>
          <t>1</t>
        </is>
      </c>
      <c r="E93" s="10" t="inlineStr">
        <is>
          <t>1</t>
        </is>
      </c>
      <c r="F93" s="11" t="inlineStr">
        <is>
          <t>一致</t>
        </is>
      </c>
      <c r="G93" s="10" t="inlineStr">
        <is>
          <t>HSP_DWC_usb3_params.v:3260</t>
        </is>
      </c>
    </row>
    <row r="94" ht="34" customHeight="1">
      <c r="A94" s="10" t="inlineStr">
        <is>
          <t>Hub Config</t>
        </is>
      </c>
      <c r="B94" s="10" t="n">
        <v>10</v>
      </c>
      <c r="C94" s="10" t="inlineStr">
        <is>
          <t>DWC_USB3_HUB_DESC_DEPTH</t>
        </is>
      </c>
      <c r="D94" s="10" t="inlineStr">
        <is>
          <t>64</t>
        </is>
      </c>
      <c r="E94" s="10" t="inlineStr">
        <is>
          <t>64</t>
        </is>
      </c>
      <c r="F94" s="11" t="inlineStr">
        <is>
          <t>一致</t>
        </is>
      </c>
      <c r="G94" s="10" t="inlineStr">
        <is>
          <t>HSP_DWC_usb3_params.v:3271</t>
        </is>
      </c>
    </row>
    <row r="95" ht="34" customHeight="1">
      <c r="A95" s="10" t="inlineStr">
        <is>
          <t>Hub Config</t>
        </is>
      </c>
      <c r="B95" s="10" t="n">
        <v>11</v>
      </c>
      <c r="C95" s="10" t="inlineStr">
        <is>
          <t>DWC_USB3_HUB_DESC_SS_START_DEPTH</t>
        </is>
      </c>
      <c r="D95" s="10" t="inlineStr">
        <is>
          <t>0</t>
        </is>
      </c>
      <c r="E95" s="10" t="inlineStr">
        <is>
          <t>0</t>
        </is>
      </c>
      <c r="F95" s="11" t="inlineStr">
        <is>
          <t>一致</t>
        </is>
      </c>
      <c r="G95" s="10" t="inlineStr">
        <is>
          <t>HSP_DWC_usb3_params.v:3285</t>
        </is>
      </c>
    </row>
    <row r="96" ht="34" customHeight="1">
      <c r="A96" s="10" t="inlineStr">
        <is>
          <t>Hub Config</t>
        </is>
      </c>
      <c r="B96" s="10" t="n">
        <v>12</v>
      </c>
      <c r="C96" s="10" t="inlineStr">
        <is>
          <t>DWC_USB3_HUB_ENABLE_VCI</t>
        </is>
      </c>
      <c r="D96" s="10" t="inlineStr">
        <is>
          <t>0</t>
        </is>
      </c>
      <c r="E96" s="10" t="inlineStr">
        <is>
          <t>0</t>
        </is>
      </c>
      <c r="F96" s="11" t="inlineStr">
        <is>
          <t>一致</t>
        </is>
      </c>
      <c r="G96" s="10" t="inlineStr">
        <is>
          <t>HSP_DWC_usb3_params.v:3299</t>
        </is>
      </c>
    </row>
    <row r="97" ht="34" customHeight="1">
      <c r="A97" s="10" t="inlineStr">
        <is>
          <t>Hub Config</t>
        </is>
      </c>
      <c r="B97" s="10" t="n">
        <v>13</v>
      </c>
      <c r="C97" s="10" t="inlineStr">
        <is>
          <t>DWC_USB3_HUB_ENABLE_SCRAMBLING</t>
        </is>
      </c>
      <c r="D97" s="10" t="inlineStr">
        <is>
          <t>0</t>
        </is>
      </c>
      <c r="E97" s="10" t="inlineStr">
        <is>
          <t>0</t>
        </is>
      </c>
      <c r="F97" s="11" t="inlineStr">
        <is>
          <t>一致</t>
        </is>
      </c>
      <c r="G97" s="10" t="inlineStr">
        <is>
          <t>HSP_DWC_usb3_params.v:3331</t>
        </is>
      </c>
    </row>
    <row r="98" ht="34" customHeight="1">
      <c r="A98" s="10" t="inlineStr">
        <is>
          <t>Advanced Config</t>
        </is>
      </c>
      <c r="B98" s="10" t="n">
        <v>2</v>
      </c>
      <c r="C98" s="10" t="inlineStr">
        <is>
          <t>DWC_USB3_GSBUSCFG0_INIT</t>
        </is>
      </c>
      <c r="D98" s="10" t="inlineStr">
        <is>
          <t>32'h1</t>
        </is>
      </c>
      <c r="E98" s="10" t="inlineStr">
        <is>
          <t>32'h1</t>
        </is>
      </c>
      <c r="F98" s="11" t="inlineStr">
        <is>
          <t>一致</t>
        </is>
      </c>
      <c r="G98" s="10" t="inlineStr">
        <is>
          <t>HSP_DWC_usb3_params.v:3387</t>
        </is>
      </c>
    </row>
    <row r="99" ht="34" customHeight="1">
      <c r="A99" s="10" t="inlineStr">
        <is>
          <t>Advanced Config</t>
        </is>
      </c>
      <c r="B99" s="10" t="n">
        <v>3</v>
      </c>
      <c r="C99" s="10" t="inlineStr">
        <is>
          <t>DWC_USB3_GSBUSCFG1_INIT</t>
        </is>
      </c>
      <c r="D99" s="10" t="inlineStr">
        <is>
          <t>32'h300</t>
        </is>
      </c>
      <c r="E99" s="10" t="inlineStr">
        <is>
          <t>32'h300</t>
        </is>
      </c>
      <c r="F99" s="11" t="inlineStr">
        <is>
          <t>一致</t>
        </is>
      </c>
      <c r="G99" s="10" t="inlineStr">
        <is>
          <t>HSP_DWC_usb3_params.v:3407</t>
        </is>
      </c>
    </row>
    <row r="100" ht="34" customHeight="1">
      <c r="A100" s="10" t="inlineStr">
        <is>
          <t>Advanced Config</t>
        </is>
      </c>
      <c r="B100" s="10" t="n">
        <v>4</v>
      </c>
      <c r="C100" s="10" t="inlineStr">
        <is>
          <t>DWC_USB3_GTXFIFOPRIDEV_INIT</t>
        </is>
      </c>
      <c r="D100" s="10" t="inlineStr">
        <is>
          <t>32'h0</t>
        </is>
      </c>
      <c r="E100" s="10" t="inlineStr">
        <is>
          <t>32'h0</t>
        </is>
      </c>
      <c r="F100" s="11" t="inlineStr">
        <is>
          <t>一致</t>
        </is>
      </c>
      <c r="G100" s="10" t="inlineStr">
        <is>
          <t>HSP_DWC_usb3_params.v:3429</t>
        </is>
      </c>
    </row>
    <row r="101" ht="34" customHeight="1">
      <c r="A101" s="10" t="inlineStr">
        <is>
          <t>Advanced Config</t>
        </is>
      </c>
      <c r="B101" s="10" t="n">
        <v>5</v>
      </c>
      <c r="C101" s="10" t="inlineStr">
        <is>
          <t>DWC_USB3_GTXFIFOPRIHST_INIT</t>
        </is>
      </c>
      <c r="D101" s="10" t="inlineStr">
        <is>
          <t>32'h0</t>
        </is>
      </c>
      <c r="E101" s="10" t="inlineStr">
        <is>
          <t>32'h0</t>
        </is>
      </c>
      <c r="F101" s="11" t="inlineStr">
        <is>
          <t>一致</t>
        </is>
      </c>
      <c r="G101" s="10" t="inlineStr">
        <is>
          <t>HSP_DWC_usb3_params.v:3451</t>
        </is>
      </c>
    </row>
    <row r="102" ht="34" customHeight="1">
      <c r="A102" s="10" t="inlineStr">
        <is>
          <t>Advanced Config</t>
        </is>
      </c>
      <c r="B102" s="10" t="n">
        <v>6</v>
      </c>
      <c r="C102" s="10" t="inlineStr">
        <is>
          <t>DWC_USB3_GRXFIFOPRIHST_INIT</t>
        </is>
      </c>
      <c r="D102" s="10" t="inlineStr">
        <is>
          <t>32'h0</t>
        </is>
      </c>
      <c r="E102" s="10" t="inlineStr">
        <is>
          <t>32'h0</t>
        </is>
      </c>
      <c r="F102" s="11" t="inlineStr">
        <is>
          <t>一致</t>
        </is>
      </c>
      <c r="G102" s="10" t="inlineStr">
        <is>
          <t>HSP_DWC_usb3_params.v:3473</t>
        </is>
      </c>
    </row>
    <row r="103" ht="34" customHeight="1">
      <c r="A103" s="10" t="inlineStr">
        <is>
          <t>Advanced Config</t>
        </is>
      </c>
      <c r="B103" s="10" t="n">
        <v>7</v>
      </c>
      <c r="C103" s="10" t="inlineStr">
        <is>
          <t>DWC_USB3_GFIFOPRIDBC_INIT</t>
        </is>
      </c>
      <c r="D103" s="10" t="inlineStr">
        <is>
          <t>32'h0</t>
        </is>
      </c>
      <c r="E103" s="10" t="inlineStr">
        <is>
          <t>32'h0</t>
        </is>
      </c>
      <c r="F103" s="11" t="inlineStr">
        <is>
          <t>一致</t>
        </is>
      </c>
      <c r="G103" s="10" t="inlineStr">
        <is>
          <t>HSP_DWC_usb3_params.v:3492</t>
        </is>
      </c>
    </row>
    <row r="104" ht="34" customHeight="1">
      <c r="A104" s="10" t="inlineStr">
        <is>
          <t>Advanced Config</t>
        </is>
      </c>
      <c r="B104" s="10" t="n">
        <v>8</v>
      </c>
      <c r="C104" s="10" t="inlineStr">
        <is>
          <t>DWC_USB3_GDMAHLRATIO_TX_INIT</t>
        </is>
      </c>
      <c r="D104" s="10" t="inlineStr">
        <is>
          <t>8</t>
        </is>
      </c>
      <c r="E104" s="10" t="inlineStr">
        <is>
          <t>8</t>
        </is>
      </c>
      <c r="F104" s="11" t="inlineStr">
        <is>
          <t>一致</t>
        </is>
      </c>
      <c r="G104" s="10" t="inlineStr">
        <is>
          <t>HSP_DWC_usb3_params.v:3526</t>
        </is>
      </c>
    </row>
    <row r="105" ht="34" customHeight="1">
      <c r="A105" s="10" t="inlineStr">
        <is>
          <t>Advanced Config</t>
        </is>
      </c>
      <c r="B105" s="10" t="n">
        <v>9</v>
      </c>
      <c r="C105" s="10" t="inlineStr">
        <is>
          <t>DWC_USB3_GDMAHLRATIO_RX_INIT</t>
        </is>
      </c>
      <c r="D105" s="10" t="inlineStr">
        <is>
          <t>8</t>
        </is>
      </c>
      <c r="E105" s="10" t="inlineStr">
        <is>
          <t>8</t>
        </is>
      </c>
      <c r="F105" s="11" t="inlineStr">
        <is>
          <t>一致</t>
        </is>
      </c>
      <c r="G105" s="10" t="inlineStr">
        <is>
          <t>HSP_DWC_usb3_params.v:3548</t>
        </is>
      </c>
    </row>
    <row r="106" ht="34" customHeight="1">
      <c r="A106" s="10" t="inlineStr">
        <is>
          <t>Advanced Config</t>
        </is>
      </c>
      <c r="B106" s="10" t="n">
        <v>10</v>
      </c>
      <c r="C106" s="10" t="inlineStr">
        <is>
          <t>DWC_USB3_EN_LPM_ERRATA</t>
        </is>
      </c>
      <c r="D106" s="10" t="inlineStr">
        <is>
          <t>1</t>
        </is>
      </c>
      <c r="E106" s="10" t="inlineStr">
        <is>
          <t>1</t>
        </is>
      </c>
      <c r="F106" s="11" t="inlineStr">
        <is>
          <t>一致</t>
        </is>
      </c>
      <c r="G106" s="10" t="inlineStr">
        <is>
          <t>HSP_DWC_usb3_params.v:3587</t>
        </is>
      </c>
    </row>
    <row r="107" ht="34" customHeight="1">
      <c r="A107" s="10" t="inlineStr">
        <is>
          <t>Advanced Config</t>
        </is>
      </c>
      <c r="B107" s="10" t="n">
        <v>11</v>
      </c>
      <c r="C107" s="10" t="inlineStr">
        <is>
          <t>DWC_USB3_DEV_EN_SCATTER_PACKETS_OF_8_TO_15_TRBS</t>
        </is>
      </c>
      <c r="D107" s="10" t="inlineStr">
        <is>
          <t>1</t>
        </is>
      </c>
      <c r="E107" s="10" t="inlineStr">
        <is>
          <t>1</t>
        </is>
      </c>
      <c r="F107" s="11" t="inlineStr">
        <is>
          <t>一致</t>
        </is>
      </c>
      <c r="G107" s="10" t="inlineStr">
        <is>
          <t>HSP_DWC_usb3_params.v:3654</t>
        </is>
      </c>
    </row>
    <row r="108" ht="34" customHeight="1">
      <c r="A108" s="10" t="inlineStr">
        <is>
          <t>Advanced Config</t>
        </is>
      </c>
      <c r="B108" s="10" t="n">
        <v>12</v>
      </c>
      <c r="C108" s="10" t="inlineStr">
        <is>
          <t>DWC_USB3_DEV_RAM_CLK_FREQ_PERF</t>
        </is>
      </c>
      <c r="D108" s="10" t="inlineStr">
        <is>
          <t>125</t>
        </is>
      </c>
      <c r="E108" s="10" t="inlineStr">
        <is>
          <t>125</t>
        </is>
      </c>
      <c r="F108" s="11" t="inlineStr">
        <is>
          <t>一致</t>
        </is>
      </c>
      <c r="G108" s="10" t="inlineStr">
        <is>
          <t>HSP_DWC_usb3_params.v:5168</t>
        </is>
      </c>
    </row>
    <row r="109" ht="34" customHeight="1">
      <c r="A109" s="10" t="inlineStr">
        <is>
          <t>Advanced Config</t>
        </is>
      </c>
      <c r="B109" s="10" t="n">
        <v>13</v>
      </c>
      <c r="C109" s="10" t="inlineStr">
        <is>
          <t>DWC_USB3_DEV_RAM_CLK_FREQ_FUNC</t>
        </is>
      </c>
      <c r="D109" s="10" t="inlineStr">
        <is>
          <t>125</t>
        </is>
      </c>
      <c r="E109" s="10" t="inlineStr">
        <is>
          <t>125</t>
        </is>
      </c>
      <c r="F109" s="11" t="inlineStr">
        <is>
          <t>一致</t>
        </is>
      </c>
      <c r="G109" s="10" t="inlineStr">
        <is>
          <t>HSP_DWC_usb3_params.v:5188</t>
        </is>
      </c>
    </row>
    <row r="110" ht="34" customHeight="1">
      <c r="A110" s="10" t="inlineStr">
        <is>
          <t>Advanced Config</t>
        </is>
      </c>
      <c r="B110" s="10" t="n">
        <v>14</v>
      </c>
      <c r="C110" s="10" t="inlineStr">
        <is>
          <t>DWC_USB3_HOST_RAM_CLK_FREQ_PERF</t>
        </is>
      </c>
      <c r="D110" s="10" t="inlineStr">
        <is>
          <t>157</t>
        </is>
      </c>
      <c r="E110" s="10" t="inlineStr">
        <is>
          <t>157</t>
        </is>
      </c>
      <c r="F110" s="11" t="inlineStr">
        <is>
          <t>一致</t>
        </is>
      </c>
      <c r="G110" s="10" t="inlineStr">
        <is>
          <t>HSP_DWC_usb3_params.v:5223</t>
        </is>
      </c>
    </row>
    <row r="111" ht="34" customHeight="1">
      <c r="A111" s="10" t="inlineStr">
        <is>
          <t>Advanced Config</t>
        </is>
      </c>
      <c r="B111" s="10" t="n">
        <v>15</v>
      </c>
      <c r="C111" s="10" t="inlineStr">
        <is>
          <t>DWC_USB3_HOST_RAM_CLK_FREQ_FUNC</t>
        </is>
      </c>
      <c r="D111" s="10" t="inlineStr">
        <is>
          <t>157</t>
        </is>
      </c>
      <c r="E111" s="10" t="inlineStr">
        <is>
          <t>157</t>
        </is>
      </c>
      <c r="F111" s="11" t="inlineStr">
        <is>
          <t>一致</t>
        </is>
      </c>
      <c r="G111" s="10" t="inlineStr">
        <is>
          <t>HSP_DWC_usb3_params.v:5248</t>
        </is>
      </c>
    </row>
    <row r="112" ht="34" customHeight="1">
      <c r="A112" s="10" t="inlineStr">
        <is>
          <t>Advanced Config</t>
        </is>
      </c>
      <c r="B112" s="10" t="n">
        <v>16</v>
      </c>
      <c r="C112" s="10" t="inlineStr">
        <is>
          <t>DWC_USB3_DCACHE_DEPTH_DEV</t>
        </is>
      </c>
      <c r="D112" s="10" t="inlineStr">
        <is>
          <t>2256</t>
        </is>
      </c>
      <c r="E112" s="10" t="inlineStr">
        <is>
          <t>2256</t>
        </is>
      </c>
      <c r="F112" s="11" t="inlineStr">
        <is>
          <t>一致</t>
        </is>
      </c>
      <c r="G112" s="10" t="inlineStr">
        <is>
          <t>HSP_DWC_usb3_params.v:4538</t>
        </is>
      </c>
    </row>
    <row r="113" ht="34" customHeight="1">
      <c r="A113" s="10" t="inlineStr">
        <is>
          <t>Advanced Config</t>
        </is>
      </c>
      <c r="B113" s="10" t="n">
        <v>17</v>
      </c>
      <c r="C113" s="10" t="inlineStr">
        <is>
          <t>DWC_USB3_DCACHE_DEPTH_HST</t>
        </is>
      </c>
      <c r="D113" s="10" t="inlineStr">
        <is>
          <t>3584</t>
        </is>
      </c>
      <c r="E113" s="10" t="inlineStr">
        <is>
          <t>3584</t>
        </is>
      </c>
      <c r="F113" s="11" t="inlineStr">
        <is>
          <t>一致</t>
        </is>
      </c>
      <c r="G113" s="10" t="inlineStr">
        <is>
          <t>HSP_DWC_usb3_params.v:4548</t>
        </is>
      </c>
    </row>
    <row r="114" ht="34" customHeight="1">
      <c r="A114" s="10" t="inlineStr">
        <is>
          <t>Advanced Config</t>
        </is>
      </c>
      <c r="B114" s="10" t="n">
        <v>18</v>
      </c>
      <c r="C114" s="10" t="inlineStr">
        <is>
          <t>DWC_USB3_DCACHE_DEPTH_INFO</t>
        </is>
      </c>
      <c r="D114" s="10" t="inlineStr">
        <is>
          <t>3584</t>
        </is>
      </c>
      <c r="E114" s="10" t="inlineStr">
        <is>
          <t>3584</t>
        </is>
      </c>
      <c r="F114" s="11" t="inlineStr">
        <is>
          <t>一致</t>
        </is>
      </c>
      <c r="G114" s="10" t="inlineStr">
        <is>
          <t>HSP_DWC_usb3_params.v:4571</t>
        </is>
      </c>
    </row>
    <row r="115" ht="34" customHeight="1">
      <c r="A115" s="10" t="inlineStr">
        <is>
          <t>Advanced Config</t>
        </is>
      </c>
      <c r="B115" s="10" t="n">
        <v>19</v>
      </c>
      <c r="C115" s="10" t="inlineStr">
        <is>
          <t>DWC_USB3_DEV_TXF_ALL_DEPTH</t>
        </is>
      </c>
      <c r="D115" s="10" t="inlineStr">
        <is>
          <t>4249</t>
        </is>
      </c>
      <c r="E115" s="10" t="inlineStr">
        <is>
          <t>4249</t>
        </is>
      </c>
      <c r="F115" s="11" t="inlineStr">
        <is>
          <t>一致</t>
        </is>
      </c>
      <c r="G115" s="10" t="inlineStr">
        <is>
          <t>HSP_DWC_usb3_params.v:4620</t>
        </is>
      </c>
    </row>
    <row r="116" ht="34" customHeight="1">
      <c r="A116" s="10" t="inlineStr">
        <is>
          <t>Advanced Config</t>
        </is>
      </c>
      <c r="B116" s="10" t="n">
        <v>20</v>
      </c>
      <c r="C116" s="10" t="inlineStr">
        <is>
          <t>DWC_USB3_HOST_TXF_ALL_DEPTH</t>
        </is>
      </c>
      <c r="D116" s="10" t="inlineStr">
        <is>
          <t>1802</t>
        </is>
      </c>
      <c r="E116" s="10" t="inlineStr">
        <is>
          <t>1802</t>
        </is>
      </c>
      <c r="F116" s="11" t="inlineStr">
        <is>
          <t>一致</t>
        </is>
      </c>
      <c r="G116" s="10" t="inlineStr">
        <is>
          <t>HSP_DWC_usb3_params.v:4633</t>
        </is>
      </c>
    </row>
    <row r="117" ht="34" customHeight="1">
      <c r="A117" s="10" t="inlineStr">
        <is>
          <t>Advanced Config</t>
        </is>
      </c>
      <c r="B117" s="10" t="n">
        <v>21</v>
      </c>
      <c r="C117" s="10" t="inlineStr">
        <is>
          <t>DWC_USB3_TXF_ALL_DEPTH</t>
        </is>
      </c>
      <c r="D117" s="10" t="inlineStr">
        <is>
          <t>4249</t>
        </is>
      </c>
      <c r="E117" s="10" t="inlineStr">
        <is>
          <t>4249</t>
        </is>
      </c>
      <c r="F117" s="11" t="inlineStr">
        <is>
          <t>一致</t>
        </is>
      </c>
      <c r="G117" s="10" t="inlineStr">
        <is>
          <t>HSP_DWC_usb3_params.v:4650</t>
        </is>
      </c>
    </row>
    <row r="118" ht="34" customHeight="1">
      <c r="A118" s="10" t="inlineStr">
        <is>
          <t>Advanced Config</t>
        </is>
      </c>
      <c r="B118" s="10" t="n">
        <v>22</v>
      </c>
      <c r="C118" s="10" t="inlineStr">
        <is>
          <t>DWC_USB3_DEV_RXF_DEPTH_DEFAULT</t>
        </is>
      </c>
      <c r="D118" s="10" t="inlineStr">
        <is>
          <t>778</t>
        </is>
      </c>
      <c r="E118" s="10" t="inlineStr">
        <is>
          <t>778</t>
        </is>
      </c>
      <c r="F118" s="11" t="inlineStr">
        <is>
          <t>一致</t>
        </is>
      </c>
      <c r="G118" s="10" t="inlineStr">
        <is>
          <t>HSP_DWC_usb3_params.v:4580</t>
        </is>
      </c>
    </row>
    <row r="119" ht="34" customHeight="1">
      <c r="A119" s="10" t="inlineStr">
        <is>
          <t>Advanced Config</t>
        </is>
      </c>
      <c r="B119" s="10" t="n">
        <v>23</v>
      </c>
      <c r="C119" s="10" t="inlineStr">
        <is>
          <t>DWC_USB3_HOST_RXF_ALL_DEPTH</t>
        </is>
      </c>
      <c r="D119" s="10" t="inlineStr">
        <is>
          <t>1552</t>
        </is>
      </c>
      <c r="E119" s="10" t="inlineStr">
        <is>
          <t>1552</t>
        </is>
      </c>
      <c r="F119" s="11" t="inlineStr">
        <is>
          <t>一致</t>
        </is>
      </c>
      <c r="G119" s="10" t="inlineStr">
        <is>
          <t>HSP_DWC_usb3_params.v:4593</t>
        </is>
      </c>
    </row>
    <row r="120" ht="34" customHeight="1">
      <c r="A120" s="10" t="inlineStr">
        <is>
          <t>Advanced Config</t>
        </is>
      </c>
      <c r="B120" s="10" t="n">
        <v>24</v>
      </c>
      <c r="C120" s="10" t="inlineStr">
        <is>
          <t>DWC_USB3_RXF_ALL_DEPTH</t>
        </is>
      </c>
      <c r="D120" s="10" t="inlineStr">
        <is>
          <t>1552</t>
        </is>
      </c>
      <c r="E120" s="10" t="inlineStr">
        <is>
          <t>1552</t>
        </is>
      </c>
      <c r="F120" s="11" t="inlineStr">
        <is>
          <t>一致</t>
        </is>
      </c>
      <c r="G120" s="10" t="inlineStr">
        <is>
          <t>HSP_DWC_usb3_params.v:4605</t>
        </is>
      </c>
    </row>
    <row r="121" ht="34" customHeight="1">
      <c r="A121" s="10" t="inlineStr">
        <is>
          <t>Advanced Config</t>
        </is>
      </c>
      <c r="B121" s="10" t="n">
        <v>25</v>
      </c>
      <c r="C121" s="10" t="inlineStr">
        <is>
          <t>DWC_USB3_RAM0_DEPTH</t>
        </is>
      </c>
      <c r="D121" s="10" t="inlineStr">
        <is>
          <t>3584</t>
        </is>
      </c>
      <c r="E121" s="10" t="inlineStr">
        <is>
          <t>3584</t>
        </is>
      </c>
      <c r="F121" s="11" t="inlineStr">
        <is>
          <t>一致</t>
        </is>
      </c>
      <c r="G121" s="10" t="inlineStr">
        <is>
          <t>HSP_DWC_usb3_params.v:4708</t>
        </is>
      </c>
    </row>
    <row r="122" ht="34" customHeight="1">
      <c r="A122" s="10" t="inlineStr">
        <is>
          <t>Advanced Config</t>
        </is>
      </c>
      <c r="B122" s="10" t="n">
        <v>26</v>
      </c>
      <c r="C122" s="10" t="inlineStr">
        <is>
          <t>DWC_USB3_RAM1_DEPTH</t>
        </is>
      </c>
      <c r="D122" s="10" t="inlineStr">
        <is>
          <t>4249</t>
        </is>
      </c>
      <c r="E122" s="10" t="inlineStr">
        <is>
          <t>4249</t>
        </is>
      </c>
      <c r="F122" s="11" t="inlineStr">
        <is>
          <t>一致</t>
        </is>
      </c>
      <c r="G122" s="10" t="inlineStr">
        <is>
          <t>HSP_DWC_usb3_params.v:4736</t>
        </is>
      </c>
    </row>
    <row r="123" ht="34" customHeight="1">
      <c r="A123" s="10" t="inlineStr">
        <is>
          <t>Advanced Config</t>
        </is>
      </c>
      <c r="B123" s="10" t="n">
        <v>27</v>
      </c>
      <c r="C123" s="10" t="inlineStr">
        <is>
          <t>DWC_USB3_RAM2_DEPTH</t>
        </is>
      </c>
      <c r="D123" s="10" t="inlineStr">
        <is>
          <t>1552</t>
        </is>
      </c>
      <c r="E123" s="10" t="inlineStr">
        <is>
          <t>1552</t>
        </is>
      </c>
      <c r="F123" s="11" t="inlineStr">
        <is>
          <t>一致</t>
        </is>
      </c>
      <c r="G123" s="10" t="inlineStr">
        <is>
          <t>HSP_DWC_usb3_params.v:4762</t>
        </is>
      </c>
    </row>
    <row r="124" ht="34" customHeight="1">
      <c r="A124" s="10" t="inlineStr">
        <is>
          <t>Advanced Config</t>
        </is>
      </c>
      <c r="B124" s="10" t="n">
        <v>28</v>
      </c>
      <c r="C124" s="10" t="inlineStr">
        <is>
          <t>DWC_USB3_PRESERVE_LOGIC_ANALYZER_SELECT</t>
        </is>
      </c>
      <c r="D124" s="10" t="inlineStr">
        <is>
          <t>1</t>
        </is>
      </c>
      <c r="E124" s="10" t="inlineStr">
        <is>
          <t>1</t>
        </is>
      </c>
      <c r="F124" s="11" t="inlineStr">
        <is>
          <t>一致</t>
        </is>
      </c>
      <c r="G124" s="10" t="inlineStr">
        <is>
          <t>HSP_DWC_usb3_params.v:4868</t>
        </is>
      </c>
    </row>
    <row r="125" ht="34" customHeight="1">
      <c r="A125" s="10" t="inlineStr">
        <is>
          <t>Advanced Config</t>
        </is>
      </c>
      <c r="B125" s="10" t="n">
        <v>29</v>
      </c>
      <c r="C125" s="10" t="inlineStr">
        <is>
          <t>DWC_USB3_EN_FPGA</t>
        </is>
      </c>
      <c r="D125" s="10" t="inlineStr">
        <is>
          <t>0</t>
        </is>
      </c>
      <c r="E125" s="10" t="inlineStr">
        <is>
          <t>0</t>
        </is>
      </c>
      <c r="F125" s="11" t="inlineStr">
        <is>
          <t>一致</t>
        </is>
      </c>
      <c r="G125" s="10" t="inlineStr">
        <is>
          <t>HSP_DWC_usb3_params.v:4915</t>
        </is>
      </c>
    </row>
    <row r="126" ht="34" customHeight="1">
      <c r="A126" s="10" t="inlineStr">
        <is>
          <t>Advanced Config</t>
        </is>
      </c>
      <c r="B126" s="10" t="n">
        <v>30</v>
      </c>
      <c r="C126" s="10" t="inlineStr">
        <is>
          <t>DWC_USB3_EN_LOG_PHYS_EP_SUPT</t>
        </is>
      </c>
      <c r="D126" s="10" t="inlineStr">
        <is>
          <t>1</t>
        </is>
      </c>
      <c r="E126" s="10" t="inlineStr">
        <is>
          <t>1</t>
        </is>
      </c>
      <c r="F126" s="11" t="inlineStr">
        <is>
          <t>一致</t>
        </is>
      </c>
      <c r="G126" s="10" t="inlineStr">
        <is>
          <t>HSP_DWC_usb3_params.v:4949</t>
        </is>
      </c>
    </row>
    <row r="127" ht="34" customHeight="1">
      <c r="A127" s="10" t="inlineStr">
        <is>
          <t>Advanced Config</t>
        </is>
      </c>
      <c r="B127" s="10" t="n">
        <v>31</v>
      </c>
      <c r="C127" s="10" t="inlineStr">
        <is>
          <t>DWC_USB3_ATSPEED_DFT</t>
        </is>
      </c>
      <c r="D127" s="10" t="inlineStr">
        <is>
          <t>0</t>
        </is>
      </c>
      <c r="E127" s="10" t="inlineStr">
        <is>
          <t>0</t>
        </is>
      </c>
      <c r="F127" s="11" t="inlineStr">
        <is>
          <t>一致</t>
        </is>
      </c>
      <c r="G127" s="10" t="inlineStr">
        <is>
          <t>HSP_DWC_usb3_params.v:4967</t>
        </is>
      </c>
    </row>
    <row r="128" ht="34" customHeight="1">
      <c r="A128" s="10" t="inlineStr">
        <is>
          <t>Advanced Config</t>
        </is>
      </c>
      <c r="B128" s="10" t="n">
        <v>32</v>
      </c>
      <c r="C128" s="10" t="inlineStr">
        <is>
          <t>DWC_USB3_EN_BUS_FILTERS</t>
        </is>
      </c>
      <c r="D128" s="10" t="inlineStr">
        <is>
          <t>1</t>
        </is>
      </c>
      <c r="E128" s="10" t="inlineStr">
        <is>
          <t>1</t>
        </is>
      </c>
      <c r="F128" s="11" t="inlineStr">
        <is>
          <t>一致</t>
        </is>
      </c>
      <c r="G128" s="10" t="inlineStr">
        <is>
          <t>HSP_DWC_usb3_params.v:5492</t>
        </is>
      </c>
    </row>
    <row r="129" ht="34" customHeight="1">
      <c r="A129" s="10" t="inlineStr">
        <is>
          <t>Advanced Config</t>
        </is>
      </c>
      <c r="B129" s="10" t="n">
        <v>33</v>
      </c>
      <c r="C129" s="10" t="inlineStr">
        <is>
          <t>DWC_USB3_EN_PMU_FILTER</t>
        </is>
      </c>
      <c r="D129" s="10" t="inlineStr">
        <is>
          <t>1</t>
        </is>
      </c>
      <c r="E129" s="10" t="inlineStr">
        <is>
          <t>1</t>
        </is>
      </c>
      <c r="F129" s="11" t="inlineStr">
        <is>
          <t>一致</t>
        </is>
      </c>
      <c r="G129" s="10" t="inlineStr">
        <is>
          <t>HSP_DWC_usb3_params.v:5507</t>
        </is>
      </c>
    </row>
    <row r="130" ht="34" customHeight="1">
      <c r="A130" s="10" t="inlineStr">
        <is>
          <t>Advanced Config</t>
        </is>
      </c>
      <c r="B130" s="10" t="n">
        <v>34</v>
      </c>
      <c r="C130" s="10" t="inlineStr">
        <is>
          <t>DWC_USB3_PIPE_32BIT_ONLY</t>
        </is>
      </c>
      <c r="D130" s="10" t="inlineStr">
        <is>
          <t>1</t>
        </is>
      </c>
      <c r="E130" s="10" t="inlineStr">
        <is>
          <t>1</t>
        </is>
      </c>
      <c r="F130" s="11" t="inlineStr">
        <is>
          <t>一致</t>
        </is>
      </c>
      <c r="G130" s="10" t="inlineStr">
        <is>
          <t>HSP_DWC_usb3_params.v:4979</t>
        </is>
      </c>
    </row>
    <row r="131" ht="34" customHeight="1">
      <c r="A131" s="10" t="inlineStr">
        <is>
          <t>Advanced Config</t>
        </is>
      </c>
      <c r="B131" s="10" t="n">
        <v>35</v>
      </c>
      <c r="C131" s="10" t="inlineStr">
        <is>
          <t>DWC_USB3_RAM_CLK_TO_BUS_CLK</t>
        </is>
      </c>
      <c r="D131" s="10" t="inlineStr">
        <is>
          <t>1</t>
        </is>
      </c>
      <c r="E131" s="10" t="inlineStr">
        <is>
          <t>1</t>
        </is>
      </c>
      <c r="F131" s="11" t="inlineStr">
        <is>
          <t>一致</t>
        </is>
      </c>
      <c r="G131" s="10" t="inlineStr">
        <is>
          <t>HSP_DWC_usb3_params.v:5004</t>
        </is>
      </c>
    </row>
    <row r="132" ht="34" customHeight="1">
      <c r="A132" s="10" t="inlineStr">
        <is>
          <t>Advanced Config</t>
        </is>
      </c>
      <c r="B132" s="10" t="n">
        <v>36</v>
      </c>
      <c r="C132" s="10" t="inlineStr">
        <is>
          <t>DWC_USB3_EN_SYNC_ALL_POSEDGE</t>
        </is>
      </c>
      <c r="D132" s="10" t="inlineStr">
        <is>
          <t>0</t>
        </is>
      </c>
      <c r="E132" s="10" t="inlineStr">
        <is>
          <t>0</t>
        </is>
      </c>
      <c r="F132" s="11" t="inlineStr">
        <is>
          <t>一致</t>
        </is>
      </c>
      <c r="G132" s="10" t="inlineStr">
        <is>
          <t>HSP_DWC_usb3_params.v:2875</t>
        </is>
      </c>
    </row>
    <row r="133" ht="34" customHeight="1">
      <c r="A133" s="10" t="inlineStr">
        <is>
          <t>Advanced Config</t>
        </is>
      </c>
      <c r="B133" s="10" t="n">
        <v>37</v>
      </c>
      <c r="C133" s="10" t="inlineStr">
        <is>
          <t>DWC_USB3_REMOVE_PIPE_CLK_MUX_FOR_20_MODE</t>
        </is>
      </c>
      <c r="D133" s="10" t="inlineStr">
        <is>
          <t>1</t>
        </is>
      </c>
      <c r="E133" s="10" t="inlineStr">
        <is>
          <t>1</t>
        </is>
      </c>
      <c r="F133" s="11" t="inlineStr">
        <is>
          <t>一致</t>
        </is>
      </c>
      <c r="G133" s="10" t="inlineStr">
        <is>
          <t>HSP_DWC_usb3_params.v:5025</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 width="68" customWidth="1" min="9" max="9"/>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c r="I1" s="1" t="inlineStr">
        <is>
          <t>是否合理</t>
        </is>
      </c>
    </row>
    <row r="2">
      <c r="A2" s="2" t="n">
        <v>1</v>
      </c>
      <c r="B2" s="3" t="inlineStr">
        <is>
          <t>Mode of Operation</t>
        </is>
      </c>
      <c r="C2" s="3" t="inlineStr">
        <is>
          <t>DWC_USB3_MODE</t>
        </is>
      </c>
      <c r="D2" s="3" t="inlineStr">
        <is>
          <t>2</t>
        </is>
      </c>
      <c r="E2" s="3" t="inlineStr">
        <is>
          <t>Device (0); Host (1); Device and Host (DRD) (2); Hub (3)</t>
        </is>
      </c>
      <c r="F2" s="3">
        <f> ((&lt;DWC-USB30-DEV-SRC feature authorize&gt;==1)? 0 : ((&lt;DWC- USB30-HST-SRC feature authorize&gt;==1)? 1 : (&lt;DWC-USB30-HUB-SRC feature authorize&gt;==1)? 3 : 2))</f>
        <v/>
      </c>
      <c r="G2" s="3" t="inlineStr">
        <is>
          <t>Always</t>
        </is>
      </c>
      <c r="H2" s="3" t="inlineStr">
        <is>
          <t>选择控制器工作模式：0=设备, 1=主机, 2=DRD(双角色), 3=Hub。需要对应的USB 3.0许可证。DRD模式下可通过软件动态切换设备/主机角色。</t>
        </is>
      </c>
      <c r="I2" s="13" t="inlineStr">
        <is>
          <t>合理：DRD 模式支持设备/主机双角色；需确认产品确有双角色需求及相应 DRD 许可证。</t>
        </is>
      </c>
    </row>
    <row r="3">
      <c r="A3" s="2" t="n">
        <v>2</v>
      </c>
      <c r="B3" s="3" t="inlineStr">
        <is>
          <t>Enable USB 2.0-only mode</t>
        </is>
      </c>
      <c r="C3" s="12" t="inlineStr">
        <is>
          <t>DWC_USB3_EN_USB2_ONLY</t>
        </is>
      </c>
      <c r="D3" s="3" t="inlineStr">
        <is>
          <t>0</t>
        </is>
      </c>
      <c r="E3" s="12" t="inlineStr">
        <is>
          <t>No (0); Yes (1)</t>
        </is>
      </c>
      <c r="F3" s="3" t="inlineStr">
        <is>
          <t>((&lt;DWC-USB30-DEV-SRC feature authorize&gt;==1 || &lt;DWC-USB30- HST -SRC feature authorize&gt; || DWC_USB3_MODE==3) ? 0 : 1)</t>
        </is>
      </c>
      <c r="G3" s="3" t="inlineStr">
        <is>
          <t>DWC_USB3_MODE == 0 || DWC_USB3_MODE == 1 || DWC_USB3_MODE == 2</t>
        </is>
      </c>
      <c r="H3" s="3" t="inlineStr">
        <is>
          <t>启用纯USB 2.0模式，去除SuperSpeed相关门电路和RAM需求。适合仅需USB 2.0但希望复用USB 3.0软件驱动的场景，可减小芯片面积且统一驱动开发。</t>
        </is>
      </c>
      <c r="I3" s="13" t="inlineStr">
        <is>
          <t>合理：值为 0，保留 SuperSpeed 能力，符合 USB 3.0 控制器定位。</t>
        </is>
      </c>
    </row>
    <row r="4">
      <c r="A4" s="2" t="n">
        <v>3</v>
      </c>
      <c r="B4" s="12" t="inlineStr">
        <is>
          <t>Enable Isochronous Support?</t>
        </is>
      </c>
      <c r="C4" s="3" t="inlineStr">
        <is>
          <t>DWC_USB3_EN_ISOC_SUPT</t>
        </is>
      </c>
      <c r="D4" s="3" t="inlineStr">
        <is>
          <t>1</t>
        </is>
      </c>
      <c r="E4" s="12" t="inlineStr">
        <is>
          <t>No (0); Yes (1)</t>
        </is>
      </c>
      <c r="F4" s="12" t="inlineStr">
        <is>
          <t>Yes</t>
        </is>
      </c>
      <c r="G4" s="3" t="inlineStr">
        <is>
          <t>DWC_USB3_MODE == 0 || DWC_USB3_MODE == 1 || DWC_USB3_MODE == 2</t>
        </is>
      </c>
      <c r="H4" s="3" t="inlineStr">
        <is>
          <t>启用等时(isochronous)传输端点支持。主机模式下建议始终开启，因为标准xHCI主机要求支持该特性，关闭不会节省面积。</t>
        </is>
      </c>
      <c r="I4" s="13" t="inlineStr">
        <is>
          <t>合理：已启用；DRD 的主机侧标准 xHCI 需要该能力，且关闭无明显面积收益。</t>
        </is>
      </c>
    </row>
    <row r="5">
      <c r="A5" s="2" t="n">
        <v>4</v>
      </c>
      <c r="B5" s="3" t="inlineStr">
        <is>
          <t>Power Optimization Mode</t>
        </is>
      </c>
      <c r="C5" s="3" t="inlineStr">
        <is>
          <t>DWC_USB3_EN_PWROPT</t>
        </is>
      </c>
      <c r="D5" s="3" t="inlineStr">
        <is>
          <t>2</t>
        </is>
      </c>
      <c r="E5" s="12" t="inlineStr">
        <is>
          <t>No Power Optimization (0); Clock Gating Only (1); Clock Gating and Hibernation (Two Power Rails) (2)</t>
        </is>
      </c>
      <c r="F5" s="3" t="inlineStr">
        <is>
          <t>No Power Optimization</t>
        </is>
      </c>
      <c r="G5" s="3" t="inlineStr">
        <is>
          <t>DWC_USB3_MODE !=3 &amp;&amp; DWC_USB3_MBUS_TYPE !=4</t>
        </is>
      </c>
      <c r="H5" s="12" t="inlineStr">
        <is>
          <t>功耗优化模式选择：0=无功耗优化；1=仅时钟门控；2=时钟门控加休眠（双电源轨）。休眠时仅 U2PMU/U3PMU 保持活动以检测唤醒条件。</t>
        </is>
      </c>
      <c r="I5" s="12" t="inlineStr">
        <is>
          <t>需确认：休眠+双电源轨配置合理，但需具备 Hibernation 许可、always-on PMU 电源域及隔离/恢复方案。</t>
        </is>
      </c>
    </row>
    <row r="6">
      <c r="A6" s="2" t="n">
        <v>5</v>
      </c>
      <c r="B6" s="12" t="inlineStr">
        <is>
          <t>Enable USB2.0 or USB3.0 OTG Capability?</t>
        </is>
      </c>
      <c r="C6" s="3" t="inlineStr">
        <is>
          <t>DWC_USB3_EN_OTG</t>
        </is>
      </c>
      <c r="D6" s="3" t="inlineStr">
        <is>
          <t>2</t>
        </is>
      </c>
      <c r="E6" s="3" t="inlineStr">
        <is>
          <t>No (0); OTG2.0 (1); OTG3.0 (and OTG 2.0) (2)</t>
        </is>
      </c>
      <c r="F6" s="3" t="inlineStr">
        <is>
          <t>No</t>
        </is>
      </c>
      <c r="G6" s="3" t="inlineStr">
        <is>
          <t>DWC_USB3_MODE ==2</t>
        </is>
      </c>
      <c r="H6" s="3" t="inlineStr">
        <is>
          <t>OTG能力配置。0=无OTG(靠软件设定角色)，1=OTG 2.0(HNP/SRP)，2=OTG 3.0(含HNP/SRP/RSP)。OTG 3.0是OTG 2.0的超集，需相应附加许可证。</t>
        </is>
      </c>
      <c r="I6" s="13" t="inlineStr">
        <is>
          <t>合理：OTG 3.0 配置与 DRD 模式匹配；需具备 OTG 3.0 许可并正确连接 ID/VBUS 相关信号。</t>
        </is>
      </c>
    </row>
    <row r="7">
      <c r="A7" s="2" t="n">
        <v>6</v>
      </c>
      <c r="B7" s="3" t="inlineStr">
        <is>
          <t>Enable ADP Capability</t>
        </is>
      </c>
      <c r="C7" s="3" t="inlineStr">
        <is>
          <t>DWC_USB3_EN_ADP</t>
        </is>
      </c>
      <c r="D7" s="3" t="inlineStr">
        <is>
          <t>0</t>
        </is>
      </c>
      <c r="E7" s="3" t="inlineStr">
        <is>
          <t>External ADP (0); Internal ADP (1)</t>
        </is>
      </c>
      <c r="F7" s="3">
        <f> 0</f>
        <v/>
      </c>
      <c r="G7" s="3" t="inlineStr">
        <is>
          <t>DWC_USB3_EN_OTG !=0</t>
        </is>
      </c>
      <c r="H7" s="3" t="inlineStr">
        <is>
          <t>启用内部ADP(附件检测协议)能力。当同时启用ADP和休眠模式时，核心休眠期间ADP功能不可用。</t>
        </is>
      </c>
      <c r="I7" s="13" t="inlineStr">
        <is>
          <t>合理：未使用内部 ADP 时关闭，避免额外逻辑；若产品需要附件检测再开启。</t>
        </is>
      </c>
    </row>
    <row r="8">
      <c r="A8" s="2" t="n">
        <v>7</v>
      </c>
      <c r="B8" s="12" t="inlineStr">
        <is>
          <t>Enable Battery Charging Capability?</t>
        </is>
      </c>
      <c r="C8" s="3" t="inlineStr">
        <is>
          <t>DWC_USB3_EN_BC</t>
        </is>
      </c>
      <c r="D8" s="3" t="inlineStr">
        <is>
          <t>0</t>
        </is>
      </c>
      <c r="E8" s="12" t="inlineStr">
        <is>
          <t>No (0); Yes (1)</t>
        </is>
      </c>
      <c r="F8" s="3">
        <f> 0</f>
        <v/>
      </c>
      <c r="G8" s="3" t="inlineStr">
        <is>
          <t>DWC_USB3_MODE !=3 &amp;&amp; DWC_USB3_MBUS_TYPE != 4</t>
        </is>
      </c>
      <c r="H8" s="3" t="inlineStr">
        <is>
          <t>启用电池充电(ACA)能力。与OTG同时启用时，utmiotg_iddig引脚可从ACA引脚派生。HSIC接口不支持电池充电器。</t>
        </is>
      </c>
      <c r="I8" s="13" t="inlineStr">
        <is>
          <t>合理：未使用 ACA 电池充电能力时关闭；如需充电器检测需另行开启且不能使用 HSIC。</t>
        </is>
      </c>
    </row>
    <row r="9">
      <c r="A9" s="2" t="n">
        <v>8</v>
      </c>
      <c r="B9" s="3" t="inlineStr">
        <is>
          <t>Master Bus (DMA Bus) Interface Type</t>
        </is>
      </c>
      <c r="C9" s="3" t="inlineStr">
        <is>
          <t>DWC_USB3_MBUS_TYPE</t>
        </is>
      </c>
      <c r="D9" s="3" t="inlineStr">
        <is>
          <t>1</t>
        </is>
      </c>
      <c r="E9" s="3" t="inlineStr">
        <is>
          <t>AHB (0); AXI (1); Reserved2 (2); Native (3); Reserved (4)</t>
        </is>
      </c>
      <c r="F9" s="3" t="inlineStr">
        <is>
          <t>AHB</t>
        </is>
      </c>
      <c r="G9" s="3" t="inlineStr">
        <is>
          <t>DWC_USB3_MODE !=3</t>
        </is>
      </c>
      <c r="H9" s="12" t="inlineStr">
        <is>
          <t>选择 SoC DMA 主总线接口：0=AHB，1=AXI，2=Reserved2，3=Native，4=Reserved。USB 3.0 为全双工，AXI 通常比 AHB 提供更高带宽。</t>
        </is>
      </c>
      <c r="I9" s="13" t="inlineStr">
        <is>
          <t>合理：AXI 主总线适用于 USB3 DMA 的全双工带宽需求。</t>
        </is>
      </c>
    </row>
    <row r="10">
      <c r="A10" s="2" t="n">
        <v>9</v>
      </c>
      <c r="B10" s="12" t="inlineStr">
        <is>
          <t>Slave Bus (Register Access Bus) Interface Type</t>
        </is>
      </c>
      <c r="C10" s="3" t="inlineStr">
        <is>
          <t>DWC_USB3_SBUS_TYPE</t>
        </is>
      </c>
      <c r="D10" s="3" t="inlineStr">
        <is>
          <t>1</t>
        </is>
      </c>
      <c r="E10" s="3" t="inlineStr">
        <is>
          <t>AHB (0); AXI (1); Reserved2 (2); Native (3)</t>
        </is>
      </c>
      <c r="F10" s="3" t="inlineStr">
        <is>
          <t>AHB</t>
        </is>
      </c>
      <c r="G10" s="3" t="inlineStr">
        <is>
          <t>DWC_USB3_MODE !=3 &amp;&amp; DWC_USB3_MBUS_TYPE!=4</t>
        </is>
      </c>
      <c r="H10" s="12" t="inlineStr">
        <is>
          <t>选择 SoC 寄存器访问从总线接口：0=AHB，1=AXI，2=Reserved2，3=Native。该总线仅用于寄存器访问，性能通常不如 DMA 主总线关键。</t>
        </is>
      </c>
      <c r="I10" s="13" t="inlineStr">
        <is>
          <t>合理：AXI 从总线用于寄存器访问，和 SoC AXI 架构匹配。</t>
        </is>
      </c>
    </row>
    <row r="11">
      <c r="A11" s="2" t="n">
        <v>10</v>
      </c>
      <c r="B11" s="3" t="inlineStr">
        <is>
          <t>Master Bus (DMA Bus) Data Bus Width</t>
        </is>
      </c>
      <c r="C11" s="3" t="inlineStr">
        <is>
          <t>DWC_USB3_MDWIDTH</t>
        </is>
      </c>
      <c r="D11" s="3" t="inlineStr">
        <is>
          <t>32</t>
        </is>
      </c>
      <c r="E11" s="3" t="inlineStr">
        <is>
          <t>32 bits (32); 33 bits (33); 64 bits (64); 128 bits (128)</t>
        </is>
      </c>
      <c r="F11" s="12" t="inlineStr">
        <is>
          <t>((DWC_USB3_MODE==3) ? 33 : (DWC_USB3_MBUS_TYPE==4)? 32 : (DWC_USB3_EN_USB2_ONLYY==1)? 64: 64)</t>
        </is>
      </c>
      <c r="G11" s="3" t="inlineStr">
        <is>
          <t>DWC_USB3_MODE !=3 &amp;&amp; DWC_USB3_MBUS_TYPE!=4</t>
        </is>
      </c>
      <c r="H11" s="3" t="inlineStr">
        <is>
          <t>主总线数据位宽(用于DMA)。USB 3.0操作建议64位或以上。33位仅用于Hub配置。</t>
        </is>
      </c>
      <c r="I11" s="12" t="inlineStr">
        <is>
          <t>需确认：32-bit 为合法值，但 databook 建议 USB3 DMA 使用 64-bit 或更宽；应根据带宽/时钟预算确认性能。</t>
        </is>
      </c>
    </row>
    <row r="12">
      <c r="A12" s="2" t="n">
        <v>11</v>
      </c>
      <c r="B12" s="12" t="inlineStr">
        <is>
          <t>Slave Bus (Register Access Bus) Data Bus Width</t>
        </is>
      </c>
      <c r="C12" s="3" t="inlineStr">
        <is>
          <t>DWC_USB3_SDWIDTH</t>
        </is>
      </c>
      <c r="D12" s="3" t="inlineStr">
        <is>
          <t>32</t>
        </is>
      </c>
      <c r="E12" s="3" t="inlineStr">
        <is>
          <t>32 bits (32); 64 bits (64); 128 bits (128)</t>
        </is>
      </c>
      <c r="F12" s="3" t="inlineStr">
        <is>
          <t>32 bits</t>
        </is>
      </c>
      <c r="G12" s="3" t="inlineStr">
        <is>
          <t>DWC_USB3_MODE !=3 &amp;&amp; DWC_USB3_MBUS_TYPE!=4</t>
        </is>
      </c>
      <c r="H12" s="3" t="inlineStr">
        <is>
          <t>从总线数据位宽(用于寄存器访问)。</t>
        </is>
      </c>
      <c r="I12" s="13" t="inlineStr">
        <is>
          <t>合理：32-bit 寄存器访问宽度常用，且不大于 32-bit 主总线宽度。</t>
        </is>
      </c>
    </row>
    <row r="13">
      <c r="A13" s="2" t="n">
        <v>12</v>
      </c>
      <c r="B13" s="3" t="inlineStr">
        <is>
          <t>Master/Slave Address Bus Width</t>
        </is>
      </c>
      <c r="C13" s="3" t="inlineStr">
        <is>
          <t>DWC_USB3_AWIDTH</t>
        </is>
      </c>
      <c r="D13" s="3" t="inlineStr">
        <is>
          <t>64</t>
        </is>
      </c>
      <c r="E13" s="3" t="inlineStr">
        <is>
          <t>32 bits (32); 64 bits (64)</t>
        </is>
      </c>
      <c r="F13" s="3" t="inlineStr">
        <is>
          <t>32 bits</t>
        </is>
      </c>
      <c r="G13" s="3" t="inlineStr">
        <is>
          <t>DWC_USB3_MODE !=3</t>
        </is>
      </c>
      <c r="H13" s="3" t="inlineStr">
        <is>
          <t>主/从接口地址总线宽度。32位或64位，需同时满足DMA主接口和从接口需求。从接口仅使用地址位[19:0]。</t>
        </is>
      </c>
      <c r="I13" s="13" t="inlineStr">
        <is>
          <t>合理：64-bit 地址宽度能覆盖 64-bit DMA 地址需求；高位未使用时须按集成约束处理。</t>
        </is>
      </c>
    </row>
    <row r="14">
      <c r="A14" s="2" t="n">
        <v>13</v>
      </c>
      <c r="B14" s="3" t="inlineStr">
        <is>
          <t>Master ID Port Width</t>
        </is>
      </c>
      <c r="C14" s="3" t="inlineStr">
        <is>
          <t>DWC_USB3_IDWIDTH</t>
        </is>
      </c>
      <c r="D14" s="3" t="inlineStr">
        <is>
          <t>8</t>
        </is>
      </c>
      <c r="E14" s="3" t="inlineStr">
        <is>
          <t>4, 5, 6, 7, 8</t>
        </is>
      </c>
      <c r="F14" s="3" t="inlineStr">
        <is>
          <t>4</t>
        </is>
      </c>
      <c r="G14" s="3" t="inlineStr">
        <is>
          <t>DWC_USB3_MBUS_TYPE!=0 &amp;&amp; DWC_USB3_MODE !=3 &amp;&amp; DWC_USB3_MBUS_TYPE!=4</t>
        </is>
      </c>
      <c r="H14" s="3" t="inlineStr">
        <is>
          <t>主总线接口ID端口宽度。USB 3.0最大支持16个未完成传输，ID宽度超过4位不必要且会增加寄存器面积。</t>
        </is>
      </c>
      <c r="I14" s="12" t="inlineStr">
        <is>
          <t>需确认：8-bit 合法但大于支持 16 outstanding transfers 所需宽度，会增加跟踪寄存器面积；确认 SoC ID 要求。</t>
        </is>
      </c>
    </row>
    <row r="15">
      <c r="A15" s="2" t="n">
        <v>14</v>
      </c>
      <c r="B15" s="12" t="inlineStr">
        <is>
          <t>Slave ID Port Width</t>
        </is>
      </c>
      <c r="C15" s="3" t="inlineStr">
        <is>
          <t>DWC_USB3_SIDWIDTH</t>
        </is>
      </c>
      <c r="D15" s="3" t="inlineStr">
        <is>
          <t>10</t>
        </is>
      </c>
      <c r="E15" s="3" t="inlineStr">
        <is>
          <t>1, ..., 32</t>
        </is>
      </c>
      <c r="F15" s="3" t="inlineStr">
        <is>
          <t>4</t>
        </is>
      </c>
      <c r="G15" s="3" t="inlineStr">
        <is>
          <t>DWC_USB3_SBUS_TYPE!=0 &amp;&amp; DWC_USB3_MODE !=3 &amp;&amp; DWC_USB3_MBUS_TYPE!=4</t>
        </is>
      </c>
      <c r="H15" s="3" t="inlineStr">
        <is>
          <t>从总线接口ID端口宽度。</t>
        </is>
      </c>
      <c r="I15" s="13" t="inlineStr">
        <is>
          <t>合理：10-bit 合法；需与 AXI master 的 ID 宽度及系统互连规则一致。</t>
        </is>
      </c>
    </row>
    <row r="16">
      <c r="A16" s="2" t="n">
        <v>15</v>
      </c>
      <c r="B16" s="3" t="inlineStr">
        <is>
          <t>Number of RAMs</t>
        </is>
      </c>
      <c r="C16" s="3" t="inlineStr">
        <is>
          <t>DWC_USB3_NUM_RAMS</t>
        </is>
      </c>
      <c r="D16" s="3" t="inlineStr">
        <is>
          <t>3</t>
        </is>
      </c>
      <c r="E16" s="3" t="inlineStr">
        <is>
          <t>1 (1); 2 (2); 3 (3)</t>
        </is>
      </c>
      <c r="F16" s="12" t="inlineStr">
        <is>
          <t>(DWC_USB3_EN_USB2_ONLYY==1 ? 1: DWC_USB3_MODE==3 ? 2 : DWC_USB3_MBUS_TYPE==4 ? 2 : DWC_USB3_MODE!=0 ? 3 : 3)</t>
        </is>
      </c>
      <c r="G16" s="12" t="inlineStr">
        <is>
          <t>DWC_USB3_MODE !=3 &amp;&amp; DWC_USB3_MBUS_TYPE!=4 &amp;&amp; DWC_USB3_EN_USB2_ONLYY != 1</t>
        </is>
      </c>
      <c r="H16" s="3" t="inlineStr">
        <is>
          <t>RAM数量选择。3-RAM配置：RAM0(寄存器+描述符缓存), RAM1(Tx预取), RAM2(Rx缓冲)；2-RAM配置合并RAM0和RAM2；USB 2.0仅需1个RAM；Hub需要2个双端口RAM。</t>
        </is>
      </c>
      <c r="I16" s="13" t="inlineStr">
        <is>
          <t>合理：3-RAM 为 USB3 DRD 的推荐配置，在性能、时钟频率与面积之间折中较好。</t>
        </is>
      </c>
    </row>
    <row r="17">
      <c r="A17" s="2" t="n">
        <v>16</v>
      </c>
      <c r="B17" s="12" t="inlineStr">
        <is>
          <t>RAM Type</t>
        </is>
      </c>
      <c r="C17" s="3" t="inlineStr">
        <is>
          <t>DWC_USB3_SPRAM_TYP</t>
        </is>
      </c>
      <c r="D17" s="3" t="inlineStr">
        <is>
          <t>0</t>
        </is>
      </c>
      <c r="E17" s="3" t="inlineStr">
        <is>
          <t>2-Port RAM (0); Single-Port RAM (SPRAM) (1)</t>
        </is>
      </c>
      <c r="F17" s="3" t="inlineStr">
        <is>
          <t>((DWC_USB3_MODE==3)? 0 : (DWC_USB3_MBUS_TYPE==4)? 0 : (DWC_USB3_MODE!=0)? 0 : 0)</t>
        </is>
      </c>
      <c r="G17" s="3" t="inlineStr">
        <is>
          <t>DWC_USB3_MODE !=3 &amp;&amp; DWC_USB3_MBUS_TYPE!=4</t>
        </is>
      </c>
      <c r="H17" s="3" t="inlineStr">
        <is>
          <t>单端口RAM类型选择。</t>
        </is>
      </c>
      <c r="I17" s="13" t="inlineStr">
        <is>
          <t>合理：选择 2-port RAM，有利于 USB3 访问带宽；需按接口时序实现外部 RAM。</t>
        </is>
      </c>
    </row>
    <row r="18">
      <c r="A18" s="2" t="n">
        <v>17</v>
      </c>
      <c r="B18" s="12" t="inlineStr">
        <is>
          <t>Global User ID (GUID) Register's Power-On Initialization Value (0x0-ffffffff)</t>
        </is>
      </c>
      <c r="C18" s="3" t="inlineStr">
        <is>
          <t>DWC_USB3_USERID</t>
        </is>
      </c>
      <c r="D18" s="3" t="inlineStr">
        <is>
          <t>32'h12345678</t>
        </is>
      </c>
      <c r="E18" s="3" t="inlineStr">
        <is>
          <t>0x0, ..., 0xffffffff</t>
        </is>
      </c>
      <c r="F18" s="3" t="inlineStr">
        <is>
          <t>0x12345678</t>
        </is>
      </c>
      <c r="G18" s="3" t="inlineStr">
        <is>
          <t>DWC_USB3_MODE !=3 &amp;&amp; DWC_USB3_MBUS_TYPE!=4</t>
        </is>
      </c>
      <c r="H18" s="3" t="inlineStr">
        <is>
          <t>全局用户ID(GUID)寄存器上电初始值，可作暂存或标识寄存器使用。上电后软件可更改此值。</t>
        </is>
      </c>
      <c r="I18" s="13" t="inlineStr">
        <is>
          <t>合理：值在范围内；需确认软件/版本识别是否要求该固定 GUID 值。</t>
        </is>
      </c>
    </row>
    <row r="19">
      <c r="A19" s="2" t="n">
        <v>18</v>
      </c>
      <c r="B19" s="12" t="inlineStr">
        <is>
          <t>Global User Control (GUCTL) Register's Power-On Initialization Value (0x0-ffffffff)</t>
        </is>
      </c>
      <c r="C19" s="3" t="inlineStr">
        <is>
          <t>DWC_USB3_GUCTL</t>
        </is>
      </c>
      <c r="D19" s="3" t="inlineStr">
        <is>
          <t>32'h5000010</t>
        </is>
      </c>
      <c r="E19" s="3" t="inlineStr">
        <is>
          <t>0x0, ..., 0xffffffff</t>
        </is>
      </c>
      <c r="F19" s="3" t="inlineStr">
        <is>
          <t>(DWC_USB3_MODE==0)? 0x10 : 0x02000010</t>
        </is>
      </c>
      <c r="G19" s="3" t="inlineStr">
        <is>
          <t>DWC_USB3_MODE !=3 &amp;&amp; DWC_USB3_MBUS_TYPE!=4</t>
        </is>
      </c>
      <c r="H19" s="3" t="inlineStr">
        <is>
          <t>全局用户控制寄存器(GUCTL)上电初始值。</t>
        </is>
      </c>
      <c r="I19" s="12" t="inlineStr">
        <is>
          <t>需确认：寄存器初始化值合法，但应与 PHY、时钟和系统软件要求逐位核对。</t>
        </is>
      </c>
    </row>
    <row r="20">
      <c r="A20" s="2" t="n">
        <v>19</v>
      </c>
      <c r="B20" s="3" t="inlineStr">
        <is>
          <t>Global User Control 1 (GUCTL1) Register's Power-On Initialization Value (0x0-0004018a)</t>
        </is>
      </c>
      <c r="C20" s="3" t="inlineStr">
        <is>
          <t>DWC_USB3_GUCTL1</t>
        </is>
      </c>
      <c r="D20" s="3" t="inlineStr">
        <is>
          <t>32'h4198a</t>
        </is>
      </c>
      <c r="E20" s="3" t="inlineStr">
        <is>
          <t>0x0, ..., 0xffffffff</t>
        </is>
      </c>
      <c r="F20" s="3">
        <f> 0x0004018a</f>
        <v/>
      </c>
      <c r="G20" s="3" t="inlineStr">
        <is>
          <t>DWC_USB3_MODE !=3 &amp;&amp; DWC_USB3_MBUS_TYPE!=4</t>
        </is>
      </c>
      <c r="H20" s="3" t="inlineStr">
        <is>
          <t>全局用户控制寄存器1(GUCTL1)上电初始值，包含设备L1退出使能和LSP Tail更新锁定位。使用标准驱动(如微软xHCI驱动)需在综合前按系统需求初始化。</t>
        </is>
      </c>
      <c r="I20" s="12" t="inlineStr">
        <is>
          <t>需确认：寄存器初始化值合法；尤其需确认 L1 exit、20/30 时钟相关位与系统方案一致。</t>
        </is>
      </c>
    </row>
    <row r="21">
      <c r="A21" s="2" t="n">
        <v>20</v>
      </c>
      <c r="B21" s="12" t="inlineStr">
        <is>
          <t>Global User Control 2 (GUCTL2) Register's Power-On Initialization Value (0x0-00007fff)</t>
        </is>
      </c>
      <c r="C21" s="3" t="inlineStr">
        <is>
          <t>DWC_USB3_GUCTL2</t>
        </is>
      </c>
      <c r="D21" s="3" t="inlineStr">
        <is>
          <t>32'h40d</t>
        </is>
      </c>
      <c r="E21" s="3" t="inlineStr">
        <is>
          <t>0x0, ..., 0x7fff</t>
        </is>
      </c>
      <c r="F21" s="3">
        <f> 0x0000040D</f>
        <v/>
      </c>
      <c r="G21" s="3" t="inlineStr">
        <is>
          <t>DWC_USB3_MODE !=3 &amp;&amp; DWC_USB3_MBUS_TYPE!=4</t>
        </is>
      </c>
      <c r="H21" s="3" t="inlineStr">
        <is>
          <t>全局用户控制寄存器2(GUCTL2)上电初始值。</t>
        </is>
      </c>
      <c r="I21" s="12" t="inlineStr">
        <is>
          <t>需确认：寄存器初始化值合法，需按 SoC/PHY 集成要求核对字段。</t>
        </is>
      </c>
    </row>
    <row r="22">
      <c r="A22" s="2" t="n">
        <v>21</v>
      </c>
      <c r="B22" s="3" t="inlineStr">
        <is>
          <t>Global Frame Length Adjustment (GFLADJ) Register's Power-On Initialization Value (0x0-00000000)</t>
        </is>
      </c>
      <c r="C22" s="3" t="inlineStr">
        <is>
          <t>DWC_USB3_GFLADJ</t>
        </is>
      </c>
      <c r="D22" s="3" t="inlineStr">
        <is>
          <t>32'h0</t>
        </is>
      </c>
      <c r="E22" s="3" t="inlineStr">
        <is>
          <t>0x0, ..., 0xffffffff</t>
        </is>
      </c>
      <c r="F22" s="3">
        <f> 0x00000000</f>
        <v/>
      </c>
      <c r="G22" s="3" t="inlineStr">
        <is>
          <t>DWC_USB3_MODE !=3 &amp;&amp; DWC_USB3_MODE != 0 &amp;&amp; DWC_USB3_MBUS_TYPE!=4</t>
        </is>
      </c>
      <c r="H22" s="3" t="inlineStr">
        <is>
          <t>全局帧长度调整寄存器(GFLADJ)上电初始值，用于编程主机帧长度调整选项。</t>
        </is>
      </c>
      <c r="I22" s="13" t="inlineStr">
        <is>
          <t>合理：DRD 主机侧可使用该初始化值；若有帧长度/时钟偏差需求应由驱动或综合配置调整。</t>
        </is>
      </c>
    </row>
    <row r="23">
      <c r="A23" s="2" t="n">
        <v>22</v>
      </c>
      <c r="B23" s="12" t="inlineStr">
        <is>
          <t>Master Bus Access Time Greater Than 2.1 us?</t>
        </is>
      </c>
      <c r="C23" s="3" t="inlineStr">
        <is>
          <t>DWC_USB3_MDBUS_ACCESS_GT21</t>
        </is>
      </c>
      <c r="D23" s="3" t="inlineStr">
        <is>
          <t>0</t>
        </is>
      </c>
      <c r="E23" s="12" t="inlineStr">
        <is>
          <t>No (0); Yes (1)</t>
        </is>
      </c>
      <c r="F23" s="3" t="inlineStr">
        <is>
          <t>No</t>
        </is>
      </c>
      <c r="G23" s="3" t="inlineStr">
        <is>
          <t>DWC_USB3_MODE == 0 || DWC_USB3_MODE == 1 || DWC_USB3_MODE == 2</t>
        </is>
      </c>
      <c r="H23" s="3" t="inlineStr">
        <is>
          <t>系统延迟指示。当DMA总线延迟+访问时间超过USB MaxPacket传输时间(SS为2.1us, HS为10us)时设1，此时推荐增大FIFO(如SS突发端点推荐5包FIFO而非3包)。</t>
        </is>
      </c>
      <c r="I23" s="13" t="inlineStr">
        <is>
          <t>合理：设为 0 表示 DMA 访问延迟预计不超过 2.1us；需用实际互连延迟/带宽分析确认。</t>
        </is>
      </c>
    </row>
    <row r="24">
      <c r="A24" s="2" t="n">
        <v>23</v>
      </c>
      <c r="B24" s="12" t="inlineStr">
        <is>
          <t>Global Transmit Threshold Configuration Register (GTXTHRCFG) Power-On Initialization Value (0x0-ffffffff)</t>
        </is>
      </c>
      <c r="C24" s="3" t="inlineStr">
        <is>
          <t>DWC_USB3_GTXTHRCFG_INIT</t>
        </is>
      </c>
      <c r="D24" s="3" t="inlineStr">
        <is>
          <t>32'h0</t>
        </is>
      </c>
      <c r="E24" s="3" t="inlineStr">
        <is>
          <t>0x0, ..., 0xffffffff</t>
        </is>
      </c>
      <c r="F24" s="3" t="inlineStr">
        <is>
          <t>((DWC_USB3_MDBUS_ACCESS_GT21 == 0) ? 0x0 : 0x24080000)</t>
        </is>
      </c>
      <c r="G24" s="3" t="inlineStr">
        <is>
          <t>(DWC_USB3_MODE == 0 || DWC_USB3_MODE == 1 || DWC_USB3_MODE == 2) &amp;&amp; DWC_USB3_MBUS_TYPE!=4</t>
        </is>
      </c>
      <c r="H24" s="3" t="inlineStr">
        <is>
          <t>全局发送阈值配置寄存器(GTXTHRCFG)上电初始值，包含阈值使能位和计数字段。需按系统需求预先配置以启用数据包阈值功能。</t>
        </is>
      </c>
      <c r="I24" s="13" t="inlineStr">
        <is>
          <t>合理：与低延迟假设（MDBUS_ACCESS_GT21=0）匹配，阈值功能默认关闭。</t>
        </is>
      </c>
    </row>
    <row r="25">
      <c r="A25" s="2" t="n">
        <v>24</v>
      </c>
      <c r="B25" s="12" t="inlineStr">
        <is>
          <t>Global Receive Threshold Configuration Register (GRXTHRCFG) Power-On Initialization Value (0x0-ffffffff)</t>
        </is>
      </c>
      <c r="C25" s="3" t="inlineStr">
        <is>
          <t>DWC_USB3_GRXTHRCFG_INIT</t>
        </is>
      </c>
      <c r="D25" s="3" t="inlineStr">
        <is>
          <t>32'h0</t>
        </is>
      </c>
      <c r="E25" s="3" t="inlineStr">
        <is>
          <t>0x0, ..., 0xffffffff</t>
        </is>
      </c>
      <c r="F25" s="3" t="inlineStr">
        <is>
          <t>((DWC_USB3_MDBUS_ACCESS_GT21 == 0) ? 0x0 : 0x24400000)</t>
        </is>
      </c>
      <c r="G25" s="3" t="inlineStr">
        <is>
          <t>(DWC_USB3_MODE == 0 || DWC_USB3_MODE == 1 || DWC_USB3_MODE == 2) &amp;&amp; DWC_USB3_MBUS_TYPE!=4</t>
        </is>
      </c>
      <c r="H25" s="3" t="inlineStr">
        <is>
          <t>全局接收阈值配置寄存器(GRXTHRCFG)上电初始值。</t>
        </is>
      </c>
      <c r="I25" s="13" t="inlineStr">
        <is>
          <t>合理：与低延迟假设（MDBUS_ACCESS_GT21=0）匹配，阈值功能默认关闭。</t>
        </is>
      </c>
    </row>
    <row r="26">
      <c r="A26" s="2" t="n">
        <v>25</v>
      </c>
      <c r="B26" s="12" t="inlineStr">
        <is>
          <t>Global Control (GCTL) Register's Power-On Initialization Value (0x0-ffffffff)</t>
        </is>
      </c>
      <c r="C26" s="3" t="inlineStr">
        <is>
          <t>DWC_USB3_GCTL_INIT</t>
        </is>
      </c>
      <c r="D26" s="3" t="inlineStr">
        <is>
          <t>32'h192004</t>
        </is>
      </c>
      <c r="E26" s="3" t="inlineStr">
        <is>
          <t>0x0, ..., 0xffffffff</t>
        </is>
      </c>
      <c r="F26" s="3" t="inlineStr">
        <is>
          <t>(DWC_USB3_MODE==0 ? 0x30c12004 : DWC_USB3_MODE==1 ? 0x30c01004 : DWC_USB3_MODE==2 ? ((DWC_USB3_EN_OTG_SS==1 || DWC_USB3_EN_OTG == 1) ? 0x30c13004 : 0x30c12004) : 0x30c12004)</t>
        </is>
      </c>
      <c r="G26" s="3" t="inlineStr">
        <is>
          <t>DWC_USB3_MODE != 3 &amp;&amp; DWC_USB3_MBUS_TYPE!=4</t>
        </is>
      </c>
      <c r="H26" s="3" t="inlineStr">
        <is>
          <t>全局控制寄存器(GCTL)上电初始值。</t>
        </is>
      </c>
      <c r="I26" s="12" t="inlineStr">
        <is>
          <t>需确认：值在范围内；应确认缩放、RAM 时钟和时钟门控字段满足 DRD 系统需求。</t>
        </is>
      </c>
    </row>
    <row r="27">
      <c r="A27" s="2" t="n">
        <v>26</v>
      </c>
      <c r="B27" s="3" t="inlineStr">
        <is>
          <t>Enable Automotive ECC Generation and Checking for RAMs</t>
        </is>
      </c>
      <c r="C27" s="3" t="inlineStr">
        <is>
          <t>DWC_USB3_EN_ECC</t>
        </is>
      </c>
      <c r="D27" s="3" t="inlineStr">
        <is>
          <t>0</t>
        </is>
      </c>
      <c r="E27" s="12" t="inlineStr">
        <is>
          <t>No (0); Yes (1)</t>
        </is>
      </c>
      <c r="F27" s="3">
        <f> 0</f>
        <v/>
      </c>
      <c r="G27" s="3" t="inlineStr">
        <is>
          <t>DWC_USB3_MODE == 0 || DWC_USB3_MODE == 1 || DWC_USB3_MODE == 2</t>
        </is>
      </c>
      <c r="H27" s="3" t="inlineStr">
        <is>
          <t>启用汽车级ECC功能，生成ECC、纠正单比特错误并报告多比特错误。单比特纠错对软件透明，多比特错误使控制器进入安全停止状态，需复位重新枚举。需要汽车级USB 3.0许可证。</t>
        </is>
      </c>
      <c r="I27" s="12" t="inlineStr">
        <is>
          <t>需确认：关闭对一般消费类设计合理；汽车/高可靠性需求应评估 ECC 与相关许可证。</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 width="68" customWidth="1" min="9" max="9"/>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c r="I1" s="1" t="inlineStr">
        <is>
          <t>是否合理</t>
        </is>
      </c>
    </row>
    <row r="2">
      <c r="A2" s="2" t="n">
        <v>1</v>
      </c>
      <c r="B2" s="3" t="inlineStr">
        <is>
          <t>Enable Pipelining on the Pipe Interface</t>
        </is>
      </c>
      <c r="C2" s="3" t="inlineStr">
        <is>
          <t>DWC_USB3_SSPHY_INTERFACE_NUM_PIPE</t>
        </is>
      </c>
      <c r="D2" s="3" t="inlineStr">
        <is>
          <t>0</t>
        </is>
      </c>
      <c r="E2" s="3" t="inlineStr">
        <is>
          <t>No Additional Pipeline (0); 1 stage of Additional Pipeline (1); 2 stages of Additional Pipeline (2)</t>
        </is>
      </c>
      <c r="F2" s="3" t="inlineStr">
        <is>
          <t>No Additional Pipeline</t>
        </is>
      </c>
      <c r="G2" s="3" t="inlineStr">
        <is>
          <t>DWC_USB3_SSPHY_INTERFACE ==1</t>
        </is>
      </c>
      <c r="H2" s="3" t="inlineStr">
        <is>
          <t>PIPE接口附加流水线级数。通常不需要，因为DWC_usb3内核已寄存PIPE输入输出。仅当SS PHY离控制器远、时序收敛困难时使用(不超过1级流水线即可)。</t>
        </is>
      </c>
      <c r="I2" s="13" t="inlineStr">
        <is>
          <t>合理：无额外 PIPE 流水线可降低延迟；仅当 PHY 距离远或时序无法收敛时再增加。</t>
        </is>
      </c>
    </row>
    <row r="3">
      <c r="A3" s="2" t="n">
        <v>2</v>
      </c>
      <c r="B3" s="12" t="inlineStr">
        <is>
          <t>High-Speed PHY Interface(s)?</t>
        </is>
      </c>
      <c r="C3" s="3" t="inlineStr">
        <is>
          <t>DWC_USB3_HSPHY_INTERFACE</t>
        </is>
      </c>
      <c r="D3" s="3" t="inlineStr">
        <is>
          <t>3</t>
        </is>
      </c>
      <c r="E3" s="3" t="inlineStr">
        <is>
          <t>Reserved (0); UTMI+ (1); ULPI (2); UTMI+ and ULPI (3)</t>
        </is>
      </c>
      <c r="F3" s="3" t="inlineStr">
        <is>
          <t>(DWC_USB3_MODE==3)? 0 : 1</t>
        </is>
      </c>
      <c r="G3" s="3" t="inlineStr">
        <is>
          <t>DWC_USB3_MODE !=3</t>
        </is>
      </c>
      <c r="H3" s="12" t="inlineStr">
        <is>
          <t>高速 PHY 接口选择：0=Reserved，1=UTMI+，2=ULPI，3=UTMI+ 和 ULPI。选 3 时软件可选择其中任一接口；ULPI 转换逻辑会增加约 1.5K gates。</t>
        </is>
      </c>
      <c r="I3" s="12" t="inlineStr">
        <is>
          <t>需确认：同时支持 UTMI+ 与 ULPI，灵活但增加约 1.5K gates；确认两种接口均有实际需求。</t>
        </is>
      </c>
    </row>
    <row r="4">
      <c r="A4" s="2" t="n">
        <v>3</v>
      </c>
      <c r="B4" s="3" t="inlineStr">
        <is>
          <t>Enable HSIC Support for USB 2.0 Ports</t>
        </is>
      </c>
      <c r="C4" s="3" t="inlineStr">
        <is>
          <t>DWC_USB3_ENABLE_HSIC</t>
        </is>
      </c>
      <c r="D4" s="3" t="inlineStr">
        <is>
          <t>0</t>
        </is>
      </c>
      <c r="E4" s="12" t="inlineStr">
        <is>
          <t>No (0); Yes (1)</t>
        </is>
      </c>
      <c r="F4" s="3">
        <f> 0</f>
        <v/>
      </c>
      <c r="G4" s="3" t="inlineStr">
        <is>
          <t>DWC_USB3_HSPHY_INTERFACE != 0 &amp;&amp; DWC_USB3_MBUS_TYPE!=4</t>
        </is>
      </c>
      <c r="H4" s="3" t="inlineStr">
        <is>
          <t>启用高速片间(HSIC)接口支持。HSIC是USB 2.0的芯片间接口标准，通过寄存器或输入端口选择HSIC或正常UTMI/ULPI模式。需HSIC附加许可证。</t>
        </is>
      </c>
      <c r="I4" s="13" t="inlineStr">
        <is>
          <t>合理：未使用 HSIC 时关闭，避免额外逻辑与许可证需求。</t>
        </is>
      </c>
    </row>
    <row r="5">
      <c r="A5" s="2" t="n">
        <v>4</v>
      </c>
      <c r="B5" s="12" t="inlineStr">
        <is>
          <t>Enable UTMI-16bit Fast Turnaround Operation</t>
        </is>
      </c>
      <c r="C5" s="3" t="inlineStr">
        <is>
          <t>DWC_USB3_FAST_TAT_EN</t>
        </is>
      </c>
      <c r="D5" s="3" t="inlineStr">
        <is>
          <t>0</t>
        </is>
      </c>
      <c r="E5" s="12" t="inlineStr">
        <is>
          <t>No (0); Yes (1)</t>
        </is>
      </c>
      <c r="F5" s="3" t="inlineStr">
        <is>
          <t>No</t>
        </is>
      </c>
      <c r="G5" s="3" t="inlineStr">
        <is>
          <t>DWC_USB3_HSPHY_INTERFACE == 1 || DWC_USB3_HSPHY_INTERFACE == 3</t>
        </is>
      </c>
      <c r="H5" s="3" t="inlineStr">
        <is>
          <t>启用UTMI 16位快速周转逻辑。仅在需要16位UTMI支持时使能。可优化/消除设备MAC/PTL路径中的部分寄存器，实现更快的周转延迟。多端口模式下要求所有USB 2.0端口时钟同步。</t>
        </is>
      </c>
      <c r="I5" s="12" t="inlineStr">
        <is>
          <t>需确认：关闭适用于不需要 UTMI 16-bit 快速周转的场景；应确认 UTMI 时钟/PHY 周转时序仍满足规范。</t>
        </is>
      </c>
    </row>
    <row r="6">
      <c r="A6" s="2" t="n">
        <v>5</v>
      </c>
      <c r="B6" s="12" t="inlineStr">
        <is>
          <t>Enable UTMI PHY Vendor Control Interface?</t>
        </is>
      </c>
      <c r="C6" s="3" t="inlineStr">
        <is>
          <t>DWC_USB3_VENDOR_CTL_INTERFACE</t>
        </is>
      </c>
      <c r="D6" s="3" t="inlineStr">
        <is>
          <t>0</t>
        </is>
      </c>
      <c r="E6" s="12" t="inlineStr">
        <is>
          <t>No (0); Yes (1)</t>
        </is>
      </c>
      <c r="F6" s="3" t="inlineStr">
        <is>
          <t>No</t>
        </is>
      </c>
      <c r="G6" s="3" t="inlineStr">
        <is>
          <t>(DWC_USB3_HSPHY_INTERFACE==1 || DWC_USB3_HSPHY_INTERFACE == 3) &amp;&amp; DWC_USB3_MODE !=3 &amp;&amp; DWC_USB3_MBUS_TYPE!=4</t>
        </is>
      </c>
      <c r="H6" s="3" t="inlineStr">
        <is>
          <t>启用UTMI PHY供应商控制接口。对于ULPI PHY，由于无额外端口，供应商控制始终使能。</t>
        </is>
      </c>
      <c r="I6" s="13" t="inlineStr">
        <is>
          <t>合理：未需要 UTMI PHY vendor-control 时关闭；如软件需访问 UTMI PHY 寄存器则应开启。</t>
        </is>
      </c>
    </row>
    <row r="7">
      <c r="A7" s="2" t="n">
        <v>6</v>
      </c>
      <c r="B7" s="12" t="inlineStr">
        <is>
          <t>Global USB2 PHY Configuration Register's (GUSB2PHYCFG) Power-On Initialization Value (0x0-ffffffff)</t>
        </is>
      </c>
      <c r="C7" s="3" t="inlineStr">
        <is>
          <t>DWC_USB3_GUSB2PHYCFG_INIT</t>
        </is>
      </c>
      <c r="D7" s="3" t="inlineStr">
        <is>
          <t>32'h40102400</t>
        </is>
      </c>
      <c r="E7" s="3" t="inlineStr">
        <is>
          <t>0x0, ..., 0xffffffff</t>
        </is>
      </c>
      <c r="F7" s="3" t="inlineStr">
        <is>
          <t>(((DWC_USB3_FREECLK_USB2_EXIST == 0) || (DWC_USB3_MODE == 0)) ? 0x00102400 : 0x40102400)</t>
        </is>
      </c>
      <c r="G7" s="3" t="inlineStr">
        <is>
          <t>(DWC_USB3_HSPHY_INTERFACE!=0 || DWC_USB3_FSPHY_INTERFACE!=0) &amp;&amp; DWC_USB3_MBUS_TYPE!=4</t>
        </is>
      </c>
      <c r="H7" s="3" t="inlineStr">
        <is>
          <t>全局USB 2.0 PHY配置寄存器(GUSB2PHYCFG)上电初始值。</t>
        </is>
      </c>
      <c r="I7" s="12" t="inlineStr">
        <is>
          <t>需确认：初始化值合法，需与 USB2 PHY 时钟、接口和低功耗设置匹配。</t>
        </is>
      </c>
    </row>
    <row r="8">
      <c r="A8" s="2" t="n">
        <v>7</v>
      </c>
      <c r="B8" s="12" t="inlineStr">
        <is>
          <t>Global USB3 PIPE Control Register's (GUSB3PIPECTL) Power-On Initialization Value (0x0-ffffffff)</t>
        </is>
      </c>
      <c r="C8" s="3" t="inlineStr">
        <is>
          <t>DWC_USB3_GUSB3PIPECTL_INIT</t>
        </is>
      </c>
      <c r="D8" s="3" t="inlineStr">
        <is>
          <t>32'h1080002</t>
        </is>
      </c>
      <c r="E8" s="3" t="inlineStr">
        <is>
          <t>0x0, ..., 0xffffffff</t>
        </is>
      </c>
      <c r="F8" s="3" t="inlineStr">
        <is>
          <t>0x10c0002</t>
        </is>
      </c>
      <c r="G8" s="3" t="inlineStr">
        <is>
          <t>(DWC_USB3_SSPHY_INTERFACE==1) &amp;&amp; DWC_USB3_MBUS_TYPE!=4</t>
        </is>
      </c>
      <c r="H8" s="3" t="inlineStr">
        <is>
          <t>全局USB 3.0 PIPE控制寄存器(GUSB3PIPECTL)上电初始值。</t>
        </is>
      </c>
      <c r="I8" s="12" t="inlineStr">
        <is>
          <t>需确认：初始化值合法，需与 USB3 PIPE PHY 的速率/省电/接口宽度要求匹配。</t>
        </is>
      </c>
    </row>
    <row r="9">
      <c r="A9" s="2" t="n">
        <v>8</v>
      </c>
      <c r="B9" s="3" t="inlineStr">
        <is>
          <t>pipe3_RxTermination signal hardware reset value</t>
        </is>
      </c>
      <c r="C9" s="3" t="inlineStr">
        <is>
          <t>DWC_USB3_PIPE_RXTERM_RESET_VAL</t>
        </is>
      </c>
      <c r="D9" s="3" t="inlineStr">
        <is>
          <t>0</t>
        </is>
      </c>
      <c r="E9" s="3" t="inlineStr">
        <is>
          <t>0 (0); 1 (1)</t>
        </is>
      </c>
      <c r="F9" s="3" t="inlineStr">
        <is>
          <t>0</t>
        </is>
      </c>
      <c r="G9" s="3" t="inlineStr">
        <is>
          <t>DWC_USB3_SSPHY_INTERFACE==1</t>
        </is>
      </c>
      <c r="H9" s="3" t="inlineStr">
        <is>
          <t>硬件复位期间pipe3_RxTermination信号的默认值。</t>
        </is>
      </c>
      <c r="I9" s="13" t="inlineStr">
        <is>
          <t>合理：复位值为 0；需确认外部 PIPE PHY 对 RxTermination 的复位要求。</t>
        </is>
      </c>
    </row>
    <row r="10">
      <c r="A10" s="2" t="n">
        <v>9</v>
      </c>
      <c r="B10" s="3" t="inlineStr">
        <is>
          <t>Enable Receiver detection in PHY power state P3</t>
        </is>
      </c>
      <c r="C10" s="3" t="inlineStr">
        <is>
          <t>DWC_USB3_RXDET_IN_P3_DS</t>
        </is>
      </c>
      <c r="D10" s="3" t="inlineStr">
        <is>
          <t>1</t>
        </is>
      </c>
      <c r="E10" s="12" t="inlineStr">
        <is>
          <t>No (0); Yes (1)</t>
        </is>
      </c>
      <c r="F10" s="3">
        <f> 0</f>
        <v/>
      </c>
      <c r="G10" s="3" t="inlineStr">
        <is>
          <t>(DWC_USB3_SSPHY_INTERFACE==1) &amp;&amp; (DWC_USB3_MODE!=0)</t>
        </is>
      </c>
      <c r="H10" s="3" t="inlineStr">
        <is>
          <t>允许USB 3.0 Hub或主机下行端口在PHY电源状态P3下进行接收器检测。需确认PHY支持此功能后再启用。</t>
        </is>
      </c>
      <c r="I10" s="12" t="inlineStr">
        <is>
          <t>需确认：启用 P3 接收器检测仅在 PHY 支持时合理，需由 PHY 规格确认。</t>
        </is>
      </c>
    </row>
    <row r="11">
      <c r="A11" s="2" t="n">
        <v>10</v>
      </c>
      <c r="B11" s="3" t="inlineStr">
        <is>
          <t>In Host Mode</t>
        </is>
      </c>
      <c r="C11" s="3" t="inlineStr">
        <is>
          <t>DWC_USB3_SUSPEND_ON_DISCONNECT_EN</t>
        </is>
      </c>
      <c r="D11" s="3" t="inlineStr">
        <is>
          <t>1</t>
        </is>
      </c>
      <c r="E11" s="12" t="inlineStr">
        <is>
          <t>No (0); Yes (1)</t>
        </is>
      </c>
      <c r="F11" s="3">
        <f> 1</f>
        <v/>
      </c>
      <c r="G11" s="3" t="inlineStr">
        <is>
          <t>(DWC_USB3_HSPHY_INTERFACE!=0 || DWC_USB3_FSPHY_INTERFACE!=0) &amp;&amp; (DWC_USB3_MBUS_TYPE!=4) &amp;&amp; (DWC_USB3_MODE==1 || DWC_USB3_MODE==2)</t>
        </is>
      </c>
      <c r="H11" s="3" t="inlineStr">
        <is>
          <t>USB 2.0端口断开连接时启用挂起以节省功耗。当DWC_USB3_NUM_SSIC_PORTS不为0时，此参数必须设为1。</t>
        </is>
      </c>
      <c r="I11" s="13" t="inlineStr">
        <is>
          <t>合理：主机/DRD 的 USB2 端口断开时挂起可降低功耗；当前未使用 SSIC 时不存在强制依赖冲突。</t>
        </is>
      </c>
    </row>
    <row r="12">
      <c r="A12" s="2" t="n">
        <v>11</v>
      </c>
      <c r="B12" s="12" t="inlineStr">
        <is>
          <t>Number of SSIC Ports (0-15)</t>
        </is>
      </c>
      <c r="C12" s="3" t="inlineStr">
        <is>
          <t>DWC_USB3_NUM_SSIC_PORTS</t>
        </is>
      </c>
      <c r="D12" s="3" t="inlineStr">
        <is>
          <t>0</t>
        </is>
      </c>
      <c r="E12" s="3" t="inlineStr">
        <is>
          <t>0 (0); 1 (1); 2 (2); 3 (3); 4 (4); 5 (5); 6 (6); 7 (7); 8 (8); 9 (9); 10 (10); 11 (11); 12 (12); 13 (13); 14 (14); 15 (15)</t>
        </is>
      </c>
      <c r="F12" s="3">
        <f> 0</f>
        <v/>
      </c>
      <c r="G12" s="3" t="inlineStr">
        <is>
          <t>(DWC_USB3_MODE == 0 || DWC_USB3_MODE == 1 || DWC_USB3_MODE == 2) &amp;&amp; (DWC_USB3_SSPHY_INTERFACE == 1)</t>
        </is>
      </c>
      <c r="H12" s="3" t="inlineStr">
        <is>
          <t>SSIC(SuperSpeed片间)端口数量。</t>
        </is>
      </c>
      <c r="I12" s="13" t="inlineStr">
        <is>
          <t>合理：未使用 SSIC 时为 0；下列 SSIC 专用参数均不生效。</t>
        </is>
      </c>
    </row>
    <row r="13">
      <c r="A13" s="2" t="n">
        <v>12</v>
      </c>
      <c r="B13" s="12" t="inlineStr">
        <is>
          <t>Maximum gear speed for SSIC ports (HS_G1_ONLY , RESERVED, HS_G1_G2_G3)</t>
        </is>
      </c>
      <c r="C13" s="3" t="inlineStr">
        <is>
          <t>DWC_USB3_SSIC_GEAR</t>
        </is>
      </c>
      <c r="D13" s="3" t="inlineStr">
        <is>
          <t>3</t>
        </is>
      </c>
      <c r="E13" s="3" t="inlineStr">
        <is>
          <t>HS_G1_ONLY (1); RESERVED (2); HS_G1_G2_G3 (3)</t>
        </is>
      </c>
      <c r="F13" s="3">
        <f> 3</f>
        <v/>
      </c>
      <c r="G13" s="3" t="inlineStr">
        <is>
          <t>DWC_USB3_NUM_SSIC_PORTS!=0</t>
        </is>
      </c>
      <c r="H13" s="3" t="inlineStr">
        <is>
          <t>所有SSIC端口支持的最大HS Gear等级。控制器支持低于该值的所有Gear。</t>
        </is>
      </c>
      <c r="I13" s="14" t="inlineStr">
        <is>
          <t>不适用：DWC_USB3_NUM_SSIC_PORTS=0，SSIC 专用参数不参与当前 RTL 功能。</t>
        </is>
      </c>
    </row>
    <row r="14">
      <c r="A14" s="2" t="n">
        <v>13</v>
      </c>
      <c r="B14" s="12" t="inlineStr">
        <is>
          <t>Number of SSIC Lanes</t>
        </is>
      </c>
      <c r="C14" s="3" t="inlineStr">
        <is>
          <t>DWC_USB3_SSIC_NUM_LANE</t>
        </is>
      </c>
      <c r="D14" s="3" t="inlineStr">
        <is>
          <t>1</t>
        </is>
      </c>
      <c r="E14" s="3" t="inlineStr">
        <is>
          <t>1-Lane (1); 2-Lane (2); 4-Lane (4)</t>
        </is>
      </c>
      <c r="F14" s="3">
        <f> 1</f>
        <v/>
      </c>
      <c r="G14" s="3" t="inlineStr">
        <is>
          <t>DWC_USB3_NUM_SSIC_PORTS!=0 &amp;&amp; DWC_USB3_SSIC_GEAR==3</t>
        </is>
      </c>
      <c r="H14" s="3" t="inlineStr">
        <is>
          <t>SSIC端口通道数量。</t>
        </is>
      </c>
      <c r="I14" s="14" t="inlineStr">
        <is>
          <t>不适用：DWC_USB3_NUM_SSIC_PORTS=0，SSIC 专用参数不参与当前 RTL 功能。</t>
        </is>
      </c>
    </row>
    <row r="15">
      <c r="A15" s="2" t="n">
        <v>14</v>
      </c>
      <c r="B15" s="3" t="inlineStr">
        <is>
          <t>Tx/Rx Symbol width of RMMI interface for SSIC ports</t>
        </is>
      </c>
      <c r="C15" s="3" t="inlineStr">
        <is>
          <t>DWC_USB3_RMMI_DATA_WIDTH</t>
        </is>
      </c>
      <c r="D15" s="3" t="inlineStr">
        <is>
          <t>40</t>
        </is>
      </c>
      <c r="E15" s="3" t="inlineStr">
        <is>
          <t>Reserved1 (10); Reserved2 (20); 40 (40)</t>
        </is>
      </c>
      <c r="F15" s="3">
        <f> 40</f>
        <v/>
      </c>
      <c r="G15" s="3" t="inlineStr">
        <is>
          <t>0</t>
        </is>
      </c>
      <c r="H15" s="3" t="inlineStr">
        <is>
          <t>SSIC端口RMMI接口数据宽度。即使在40位模式下也可通过寄存器编程为20位模式。</t>
        </is>
      </c>
      <c r="I15" s="14" t="inlineStr">
        <is>
          <t>不适用：DWC_USB3_NUM_SSIC_PORTS=0，SSIC 专用参数不参与当前 RTL 功能。</t>
        </is>
      </c>
    </row>
    <row r="16">
      <c r="A16" s="2" t="n">
        <v>15</v>
      </c>
      <c r="B16" s="3" t="inlineStr">
        <is>
          <t>Global USB3 RMMI Control Register's (GUSB3RMMICTL) Power-On Initialization Value (0x0-ffffffff)</t>
        </is>
      </c>
      <c r="C16" s="3" t="inlineStr">
        <is>
          <t>DWC_USB3_GUSB3RMMICTL_INIT</t>
        </is>
      </c>
      <c r="D16" s="3" t="inlineStr">
        <is>
          <t>32'h3800e4</t>
        </is>
      </c>
      <c r="E16" s="3" t="inlineStr">
        <is>
          <t>0x0, ..., 0xffffffff</t>
        </is>
      </c>
      <c r="F16" s="3" t="inlineStr">
        <is>
          <t>((GUSB3RMMICTL_ GEAR_DEFAULT | GUSB3RMMICTL_LANE_DEFAULT | GUSB3RMMICTL_WIDTH_DEFAULT | 0x000000e4))</t>
        </is>
      </c>
      <c r="G16" s="3" t="inlineStr">
        <is>
          <t>DWC_USB3_NUM_SSIC_PORTS!=0</t>
        </is>
      </c>
      <c r="H16" s="3" t="inlineStr">
        <is>
          <t>全局USB 3.0 RMMI控制寄存器(GUSB3RMMICTL)上电初始值，定义SSIC在RMMI接口上的控制字段。</t>
        </is>
      </c>
      <c r="I16" s="14" t="inlineStr">
        <is>
          <t>不适用：DWC_USB3_NUM_SSIC_PORTS=0，SSIC 专用参数不参与当前 RTL 功能。</t>
        </is>
      </c>
    </row>
    <row r="17">
      <c r="A17" s="2" t="n">
        <v>16</v>
      </c>
      <c r="B17" s="3" t="inlineStr">
        <is>
          <t>CB interface not used in MPHY</t>
        </is>
      </c>
      <c r="C17" s="3" t="inlineStr">
        <is>
          <t>DWC_USB3_SSIC_NON_SNPS_MPHY</t>
        </is>
      </c>
      <c r="D17" s="3" t="inlineStr">
        <is>
          <t>0</t>
        </is>
      </c>
      <c r="E17" s="12" t="inlineStr">
        <is>
          <t>No (0); Yes (1)</t>
        </is>
      </c>
      <c r="F17" s="3">
        <f> 0</f>
        <v/>
      </c>
      <c r="G17" s="3" t="inlineStr">
        <is>
          <t>DWC_USB3_NUM_SSIC_PORTS!=0</t>
        </is>
      </c>
      <c r="H17" s="3" t="inlineStr">
        <is>
          <t>是否为SSIC端口使用专有CB接口。选择CB接口时仅支持Synopsys MPHY。</t>
        </is>
      </c>
      <c r="I17" s="14" t="inlineStr">
        <is>
          <t>不适用：DWC_USB3_NUM_SSIC_PORTS=0，SSIC 专用参数不参与当前 RTL 功能。</t>
        </is>
      </c>
    </row>
    <row r="18">
      <c r="A18" s="2" t="n">
        <v>17</v>
      </c>
      <c r="B18" s="12" t="inlineStr">
        <is>
          <t>SSIC ROM Depth</t>
        </is>
      </c>
      <c r="C18" s="3" t="inlineStr">
        <is>
          <t>DWC_USB3_SSIC_ROM_DEPTH</t>
        </is>
      </c>
      <c r="D18" s="3" t="inlineStr">
        <is>
          <t>0</t>
        </is>
      </c>
      <c r="E18" s="3" t="inlineStr">
        <is>
          <t>0 (0); 16 (16); 32 (32); 64 (64); 128 (128); 256 (256)</t>
        </is>
      </c>
      <c r="F18" s="3" t="inlineStr">
        <is>
          <t>((DWC_USB3_NUM_SSIC_PORTS !=0) ? 32 : 0)</t>
        </is>
      </c>
      <c r="G18" s="3" t="inlineStr">
        <is>
          <t>DWC_USB3_NUM_SSIC_PORTS !=0</t>
        </is>
      </c>
      <c r="H18" s="3" t="inlineStr">
        <is>
          <t>SSIC ROM深度(24位数据宽度)。ROM包含需写入MPHY的所有MPHY属性。</t>
        </is>
      </c>
      <c r="I18" s="14" t="inlineStr">
        <is>
          <t>不适用：DWC_USB3_NUM_SSIC_PORTS=0，SSIC 专用参数不参与当前 RTL 功能。</t>
        </is>
      </c>
    </row>
    <row r="19">
      <c r="A19" s="2" t="n">
        <v>18</v>
      </c>
      <c r="B19" s="3" t="inlineStr">
        <is>
          <t>Starting Depth of CONFIGURE_FOR_HS MPHY Attribute data in the SSIC ROM</t>
        </is>
      </c>
      <c r="C19" s="3" t="inlineStr">
        <is>
          <t>DWC_USB3_SSIC_ROM_RRAP_START_DEPTH</t>
        </is>
      </c>
      <c r="D19" s="3" t="inlineStr">
        <is>
          <t>0</t>
        </is>
      </c>
      <c r="E19" s="3" t="inlineStr">
        <is>
          <t>0, ..., 256</t>
        </is>
      </c>
      <c r="F19" s="3" t="inlineStr">
        <is>
          <t>((DWC_USB3_SSIC_ROM_DEPTH &gt; 16 ) ? 16 : 0)</t>
        </is>
      </c>
      <c r="G19" s="3" t="inlineStr">
        <is>
          <t>DWC_USB3_NUM_SSIC_PORTS !=0 &amp;&amp; DWC_USB3_SSIC_ROM_DEPTH != 0</t>
        </is>
      </c>
      <c r="H19" s="3" t="inlineStr">
        <is>
          <t>SSIC ROM中存储RRAP阶段CONFIGURE_FOR_HS用MPHY属性的起始深度。控制器从该深度到ROM_DEPTH-1读取属性并写入MPHY。</t>
        </is>
      </c>
      <c r="I19" s="14" t="inlineStr">
        <is>
          <t>不适用：DWC_USB3_NUM_SSIC_PORTS=0，SSIC 专用参数不参与当前 RTL 功能。</t>
        </is>
      </c>
    </row>
    <row r="20">
      <c r="A20" s="2" t="n">
        <v>19</v>
      </c>
      <c r="B20" s="12" t="inlineStr">
        <is>
          <t>Global SSIC Configuration Register (GSCFG) Power-On Initialization Value (0x0-ffffffff)</t>
        </is>
      </c>
      <c r="C20" s="3" t="inlineStr">
        <is>
          <t>DWC_USB3_GSCFG_INIT</t>
        </is>
      </c>
      <c r="D20" s="3" t="inlineStr">
        <is>
          <t>32'h440</t>
        </is>
      </c>
      <c r="E20" s="3" t="inlineStr">
        <is>
          <t>0x0, ..., 0xffffffff</t>
        </is>
      </c>
      <c r="F20" s="3">
        <f> 0x00000440</f>
        <v/>
      </c>
      <c r="G20" s="3" t="inlineStr">
        <is>
          <t>DWC_USB3_NUM_SSIC_PORTS!=0</t>
        </is>
      </c>
      <c r="H20" s="3" t="inlineStr">
        <is>
          <t>全局SSIC配置寄存器(GSCFG)上电初始值，定义SSIC配置字段。</t>
        </is>
      </c>
      <c r="I20" s="14" t="inlineStr">
        <is>
          <t>不适用：DWC_USB3_NUM_SSIC_PORTS=0，SSIC 专用参数不参与当前 RTL 功能。</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 width="68" customWidth="1" min="9" max="9"/>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c r="I1" s="1" t="inlineStr">
        <is>
          <t>是否合理</t>
        </is>
      </c>
    </row>
    <row r="2">
      <c r="A2" s="2" t="n">
        <v>1</v>
      </c>
      <c r="B2" s="3" t="inlineStr">
        <is>
          <t>Number of Device Mode Event Buffers</t>
        </is>
      </c>
      <c r="C2" s="3" t="inlineStr">
        <is>
          <t>DWC_USB3_DEVICE_NUM_INT</t>
        </is>
      </c>
      <c r="D2" s="3" t="inlineStr">
        <is>
          <t>1</t>
        </is>
      </c>
      <c r="E2" s="3" t="inlineStr">
        <is>
          <t>1, ..., 32</t>
        </is>
      </c>
      <c r="F2" s="3" t="inlineStr">
        <is>
          <t>1</t>
        </is>
      </c>
      <c r="G2" s="3" t="inlineStr">
        <is>
          <t>DWC_USB3_MODE !=1 &amp;&amp; DWC_USB3_MODE !=3 &amp;&amp; DWC_USB3_MBUS_TYPE!=4</t>
        </is>
      </c>
      <c r="H2" s="3" t="inlineStr">
        <is>
          <t>设备模式事件缓冲区/中断数量。单处理器SoC配多中断无意义；多核SoC中可将不同端点中断映射到不同处理器做负载均衡。标准类驱动接口(如Linux BOT gadget)建议用单中断。</t>
        </is>
      </c>
      <c r="I2" s="13" t="inlineStr">
        <is>
          <t>合理：单事件缓冲/中断适合单处理器嵌入式系统，避免多中断软件复杂度。</t>
        </is>
      </c>
    </row>
    <row r="3">
      <c r="A3" s="2" t="n">
        <v>2</v>
      </c>
      <c r="B3" s="3" t="n"/>
      <c r="C3" s="3" t="inlineStr">
        <is>
          <t>DWC_USB3_NUM_EPS</t>
        </is>
      </c>
      <c r="D3" s="3" t="inlineStr">
        <is>
          <t>16</t>
        </is>
      </c>
      <c r="E3" s="3" t="inlineStr">
        <is>
          <t>4, ..., 32</t>
        </is>
      </c>
      <c r="F3" s="3" t="inlineStr">
        <is>
          <t>8</t>
        </is>
      </c>
      <c r="G3" s="3" t="inlineStr">
        <is>
          <t>DWC_USB3_MODE !=1 &amp;&amp; DWC_USB3_MODE !=3</t>
        </is>
      </c>
      <c r="H3" s="3" t="inlineStr">
        <is>
          <t>设备模式端点总数。</t>
        </is>
      </c>
      <c r="I3" s="13" t="inlineStr">
        <is>
          <t>合理：16 个单向端点提供较大设备扩展性；需确认面积与实际 gadget 端点需求平衡。</t>
        </is>
      </c>
    </row>
    <row r="4">
      <c r="A4" s="2" t="n">
        <v>3</v>
      </c>
      <c r="B4" s="3" t="inlineStr">
        <is>
          <t>Number of Device Mode Active IN Endpoints (2-16)</t>
        </is>
      </c>
      <c r="C4" s="3" t="inlineStr">
        <is>
          <t>DWC_USB3_NUM_IN_EPS</t>
        </is>
      </c>
      <c r="D4" s="3" t="inlineStr">
        <is>
          <t>8</t>
        </is>
      </c>
      <c r="E4" s="3" t="inlineStr">
        <is>
          <t>2, ..., 16</t>
        </is>
      </c>
      <c r="F4" s="3" t="inlineStr">
        <is>
          <t>4</t>
        </is>
      </c>
      <c r="G4" s="3" t="inlineStr">
        <is>
          <t>DWC_USB3_MODE != 1 &amp;&amp; DWC_USB3_MODE !=3</t>
        </is>
      </c>
      <c r="H4" s="3" t="inlineStr">
        <is>
          <t>设备模式最大活动IN端点数(含控制IN端点0)。决定TxFIFO实例数和Tx RAM分配。默认值4对应UASP大容量存储类+ISOC应用需求(Control-IN, Bulk-Data-IN, Bulk-Status-IN, ISOC-IN)。</t>
        </is>
      </c>
      <c r="I4" s="13" t="inlineStr">
        <is>
          <t>合理：8 个活动 IN 端点与 16 endpoint 配置匹配；需确认 TxFIFO/RAM 资源满足所有并发端点。</t>
        </is>
      </c>
    </row>
    <row r="5">
      <c r="A5" s="2" t="n">
        <v>4</v>
      </c>
      <c r="B5" s="3" t="n"/>
      <c r="C5" s="3" t="inlineStr">
        <is>
          <t>DWC_USB3_CACHE_TRBS_PER_TRANSFER</t>
        </is>
      </c>
      <c r="D5" s="3" t="inlineStr">
        <is>
          <t>16</t>
        </is>
      </c>
      <c r="E5" s="3" t="inlineStr">
        <is>
          <t>2, ..., 32</t>
        </is>
      </c>
      <c r="F5" s="3" t="inlineStr">
        <is>
          <t>4</t>
        </is>
      </c>
      <c r="G5" s="3" t="inlineStr">
        <is>
          <t>DWC_USB3_MODE != 1 &amp;&amp; DWC_USB3_MODE !=3 &amp;&amp; DWC_USB3_MBUS_TYPE!=4</t>
        </is>
      </c>
      <c r="H5" s="3" t="inlineStr">
        <is>
          <t>每次传输的TRB(传输请求块)缓存数。</t>
        </is>
      </c>
      <c r="I5" s="13" t="inlineStr">
        <is>
          <t>合理：16 个 TRB cache 对 scatter-gather/高延迟系统较充裕，代价是额外 RAM。</t>
        </is>
      </c>
    </row>
    <row r="6">
      <c r="A6" s="2" t="n">
        <v>5</v>
      </c>
      <c r="B6" s="3" t="inlineStr">
        <is>
          <t>Enable Device External Buffer Control</t>
        </is>
      </c>
      <c r="C6" s="3" t="inlineStr">
        <is>
          <t>DWC_USB3_EXT_BUFF_CONTROL</t>
        </is>
      </c>
      <c r="D6" s="3" t="inlineStr">
        <is>
          <t>0</t>
        </is>
      </c>
      <c r="E6" s="12" t="inlineStr">
        <is>
          <t>No (0); Yes (1)</t>
        </is>
      </c>
      <c r="F6" s="3">
        <f> 0</f>
        <v/>
      </c>
      <c r="G6" s="3" t="inlineStr">
        <is>
          <t>((DWC_USB3_MODE == 0) || (DWC_USB3_MODE == 2)) &amp;&amp; (DWC_USB3_MBUS_TYPE != 4)</t>
        </is>
      </c>
      <c r="H6" s="3" t="inlineStr">
        <is>
          <t>启用设备外部缓冲区控制边带信号。利用dev_usb_outep_pkt_buff_avail和dev_usb_inep_pkt_buff_avail信号指示外部Rx/Tx FIFO的空间/数据可用性。主要用于调试端点，有使用限制。</t>
        </is>
      </c>
      <c r="I6" s="13" t="inlineStr">
        <is>
          <t>合理：未使用调试型外部端点缓冲 sideband 时关闭。</t>
        </is>
      </c>
    </row>
    <row r="7">
      <c r="A7" s="2" t="n">
        <v>6</v>
      </c>
      <c r="B7" s="3" t="n"/>
      <c r="C7" s="3" t="inlineStr">
        <is>
          <t>DWC_USB3_DEV_RXF_MAX_PACKET_SIZE</t>
        </is>
      </c>
      <c r="D7" s="3" t="inlineStr">
        <is>
          <t>1024</t>
        </is>
      </c>
      <c r="E7" s="3" t="inlineStr">
        <is>
          <t>1, ..., 1024</t>
        </is>
      </c>
      <c r="F7" s="12" t="inlineStr">
        <is>
          <t>(DWC_USB3_EN_USB2_ONLYY==1 &amp;&amp; DWC_USB3_EN_ISOC_SUPT==0 ? 512: 1024)</t>
        </is>
      </c>
      <c r="G7" s="3" t="inlineStr">
        <is>
          <t>((DWC_USB3_MODE == 0) || (DWC_USB3_MODE == 2))</t>
        </is>
      </c>
      <c r="H7" s="3" t="inlineStr">
        <is>
          <t>设备RxFIFO最大包大小(字节)。</t>
        </is>
      </c>
      <c r="I7" s="13" t="inlineStr">
        <is>
          <t>合理：1024 bytes 覆盖 SuperSpeed 最大包。</t>
        </is>
      </c>
    </row>
    <row r="8">
      <c r="A8" s="2" t="n">
        <v>7</v>
      </c>
      <c r="B8" s="3" t="inlineStr">
        <is>
          <t>RxFIFO Size in Number of MaxPackets(1 to 16)</t>
        </is>
      </c>
      <c r="C8" s="3" t="inlineStr">
        <is>
          <t>DWC_USB3_DEV_RXF_NUM_MAX_PACKETS</t>
        </is>
      </c>
      <c r="D8" s="3" t="inlineStr">
        <is>
          <t>3</t>
        </is>
      </c>
      <c r="E8" s="3" t="inlineStr">
        <is>
          <t>1, ..., 16</t>
        </is>
      </c>
      <c r="F8" s="12" t="inlineStr">
        <is>
          <t>(DWC_USB3_EN_USB2_ONLYY==1 ? ((DWC_USB3_EN_ISOC_SUPT==1 &amp;&amp; DWC_USB3_MDBUS_ACCESS_GT21==1) ? 3: (DWC_USB3_MDBUS_ACCESS_GT21==1 ? 4: 2)): DWC_USB3_MDBUS_ACCESS_GT21==1 ? 5: 3)</t>
        </is>
      </c>
      <c r="G8" s="3" t="inlineStr">
        <is>
          <t>((DWC_USB3_MODE == 0) || (DWC_USB3_MODE == 2))</t>
        </is>
      </c>
      <c r="H8" s="3" t="inlineStr">
        <is>
          <t>RxFIFO最大包数。所有设备OUT端点共用同一RxFIFO。突发支持最低需要3包FIFO；SuperSpeed建议5包(若DMA延迟&gt;2.1us)。USB 2.0仅模式默认2包(低延迟)或3-4包(高延迟)。</t>
        </is>
      </c>
      <c r="I8" s="13" t="inlineStr">
        <is>
          <t>合理：3 包 FIFO 满足 SuperSpeed burst 基本建议；若 DMA 延迟超过 2.1us，应评估增至 5 包。</t>
        </is>
      </c>
    </row>
    <row r="9">
      <c r="A9" s="2" t="n">
        <v>8</v>
      </c>
      <c r="B9" s="3" t="n"/>
      <c r="C9" s="3" t="inlineStr">
        <is>
          <t>DWC_USB3_DEV_RXF_DEPTH</t>
        </is>
      </c>
      <c r="D9" s="3" t="inlineStr">
        <is>
          <t>778</t>
        </is>
      </c>
      <c r="E9" s="12" t="inlineStr">
        <is>
          <t>((4*DWC_USB3_DEV_RXFIFO_OK_SPACE) / DWC_USB3_MBYTES), ..., ; 8192</t>
        </is>
      </c>
      <c r="F9" s="12" t="inlineStr">
        <is>
          <t>(DWC_USB3_DEV_RXF_NUM_MAX_PACKETS*(((DWC_USB3_DEV_RXF_MAX_PACKET_SIZE+DWC_USB3_MBYTES)-1)/DWC_USB3_MBYTES))+((DWC_USB3 _DEV_RXFIFO_OK_SPACE_MARGIN* 4)/DWC_USB3_MBYTES)</t>
        </is>
      </c>
      <c r="G9" s="3" t="inlineStr">
        <is>
          <t>((DWC_USB3_MODE == 0) || (DWC_USB3_MODE == 2))</t>
        </is>
      </c>
      <c r="H9" s="3" t="inlineStr">
        <is>
          <t>设备RxFIFO深度(字为单位)。</t>
        </is>
      </c>
      <c r="I9" s="13" t="inlineStr">
        <is>
          <t>合理：与当前最大包数/包大小及 RAM 宽度的派生结果一致。</t>
        </is>
      </c>
    </row>
    <row r="10">
      <c r="A10" s="2" t="n">
        <v>9</v>
      </c>
      <c r="B10" s="3" t="inlineStr">
        <is>
          <t>IN Endpoint-0 FIFO Depth TxFIFO Depth(0 to 8192)</t>
        </is>
      </c>
      <c r="C10" s="3" t="inlineStr">
        <is>
          <t>DWC_USB3_DEV_TXF0_DEPTH</t>
        </is>
      </c>
      <c r="D10" s="3" t="inlineStr">
        <is>
          <t>130</t>
        </is>
      </c>
      <c r="E10" s="3" t="inlineStr">
        <is>
          <t>(1 * (64 / DWC_USB3_MBYTES + DWC_USB3_NPI_N) + ; DWC_USB3_NPI_N), ..., 8192</t>
        </is>
      </c>
      <c r="F10" s="12" t="inlineStr">
        <is>
          <t>((DWC_USB3_EN_USB2_ONLYY==1) ? ((64 / DWC_USB3_MBYTES + DWC_USB3_NPI_N) + DWC_USB3_NPI_N) : ((512 / DWC_USB3_MBYTES + DWC_USB3_NPI_N) + DWC_USB3_NPI_N))</t>
        </is>
      </c>
      <c r="G10" s="3" t="inlineStr">
        <is>
          <t>((DWC_USB3_MODE == 0) || (DWC_USB3_MODE == 2))</t>
        </is>
      </c>
      <c r="H10" s="3" t="inlineStr">
        <is>
          <t>TxFIFO 0深度(MDWIDTH位字为单位)。推荐值基于包大小和字节使能位数计算。</t>
        </is>
      </c>
      <c r="I10" s="13" t="inlineStr">
        <is>
          <t>合理：与 EP0 控制端点的当前派生 FIFO 深度一致。</t>
        </is>
      </c>
    </row>
    <row r="11">
      <c r="A11" s="2" t="n">
        <v>10</v>
      </c>
      <c r="B11" s="3" t="inlineStr">
        <is>
          <t>IN Endpoint-1 FIFO Depth MaxPacket Size in Bytes for TxFIFO-n (1 to 1024) (for n = 1; n &lt;= 15)Selects TxFIFO 1 MaxPacket size in bytes ■The MaxPacket of a Bulk endpoint is 1024 bytes (or 512 bytes in 2.0-only mode). ■The MaxPacket of a ISOC endpoint is 1024 bytes when more than 1 packet is scheduled per Micro-Frame, otherwise this is application specific. ■The MaxPacket of an Interrupt endpoint is application specific. For example, a mouse-like Human Interface Device (HID) uses a packet size of 4 bytes.</t>
        </is>
      </c>
      <c r="C11" s="3" t="inlineStr">
        <is>
          <t>DWC_USB3_DEV_TXFn_MAX_PACKET_SIZE</t>
        </is>
      </c>
      <c r="D11" s="12" t="inlineStr">
        <is>
          <t>n=1..15: 1024</t>
        </is>
      </c>
      <c r="E11" s="3" t="inlineStr">
        <is>
          <t>1, ..., 1024</t>
        </is>
      </c>
      <c r="F11" s="12" t="inlineStr">
        <is>
          <t>(DWC_USB3_EN_USB2_ONLYY==1 &amp;&amp; DWC_USB3_DEV_TXF1_BURST_EN==0 ? 512: 1024)</t>
        </is>
      </c>
      <c r="G11" s="3" t="inlineStr">
        <is>
          <t>((DWC_USB3_MODE == 0) || (DWC_USB3_MODE == 2))</t>
        </is>
      </c>
      <c r="H11" s="3" t="inlineStr">
        <is>
          <t>TxFIFO最大包大小(字节)。n=1~15对应各IN端点。</t>
        </is>
      </c>
      <c r="I11" s="13" t="inlineStr">
        <is>
          <t>合理：所有 TxF1~TxF15 均为 1024 bytes，覆盖 SuperSpeed 最大包；应由端点类型和软件描述符约束实际使用。</t>
        </is>
      </c>
    </row>
    <row r="12">
      <c r="A12" s="2" t="n">
        <v>11</v>
      </c>
      <c r="B12" s="3" t="n"/>
      <c r="C12" s="3" t="inlineStr">
        <is>
          <t>DWC_USB3_DEV_TXFn_BURST_EN</t>
        </is>
      </c>
      <c r="D12" s="12" t="inlineStr">
        <is>
          <t>n=1,2: 1; n=3..15: 0</t>
        </is>
      </c>
      <c r="E12" s="12" t="inlineStr">
        <is>
          <t>No (0); Yes (1)</t>
        </is>
      </c>
      <c r="F12" s="12" t="inlineStr">
        <is>
          <t>(DWC_USB3_EN_USB2_ONLYY==1 &amp;&amp; DWC_USB3_EN_ISOC_SUPT==0 ? 0: 1)</t>
        </is>
      </c>
      <c r="G12" s="3" t="inlineStr">
        <is>
          <t>((DWC_USB3_MODE == 0) || (DWC_USB3_MODE == 2))</t>
        </is>
      </c>
      <c r="H12" s="3" t="inlineStr">
        <is>
          <t>TxFIFO 1是否支持突发传输。SuperSpeed模式下突发端点至少需要3包FIFO，非突发端点推荐2包。USB 2.0仅模式仅适用于等时端点。</t>
        </is>
      </c>
      <c r="I12" s="13" t="inlineStr">
        <is>
          <t>合理：仅 TxF1/TxF2 启用 burst，其他 FIFO 关闭；需确认此分配符合各 IN 端点的传输类型。</t>
        </is>
      </c>
    </row>
    <row r="13">
      <c r="A13" s="2" t="n">
        <v>12</v>
      </c>
      <c r="B13" s="3" t="inlineStr">
        <is>
          <t>TxFIFO-n Depth in Number of MaxPackets (1 to 16) (for n = 1; n &lt;= 15)Selects Number of MaxPackets for TxFIFO 1 All Device IN Endpoints have a dedicated TxFIFO. ■Burst support requires a minimum 3 MaxPacket FIFO size; however, for SuperSpeed, 5 MaxPackets is recommended if the master DMA bus latency plus access time for a 1KB packet is larger than 2.1 microseconds. ■While the recommended value is 3 for burstable endpoints, the recommended value is 2 for non-burstable endpoints (no more than 1 packet scheduled per micro-frame). ■However, for USB 2.0 only mode, the default is 2 in low latency system (&lt; 10 uS), 3 for ISOC, and 4 for non-ISOC high-latency system.</t>
        </is>
      </c>
      <c r="C13" s="3" t="inlineStr">
        <is>
          <t>DWC_USB3_DEV_TXFn_NUM_MAX_PACKETS</t>
        </is>
      </c>
      <c r="D13" s="12" t="inlineStr">
        <is>
          <t>n=1,2: 3; n=3..15: 2</t>
        </is>
      </c>
      <c r="E13" s="3" t="inlineStr">
        <is>
          <t>1, ..., 16</t>
        </is>
      </c>
      <c r="F13" s="12" t="inlineStr">
        <is>
          <t>(DWC_USB3_EN_USB2_ONLYY==1 ? ((DWC_USB3_DEV_TXF1_BURST_EN==1 &amp;&amp; DWC_USB3_MDBUS_ACCESS_GT21==1) ? 3: (DWC_USB3_MDBUS_ACCESS_GT21==1 ? 4: 2)): (DWC_USB3_DEV_TXF1_BURST_EN==0 ? 2: (DWC_USB3_MDBUS_ACCESS_GT21==1 ? 5: 3)))</t>
        </is>
      </c>
      <c r="G13" s="3" t="inlineStr">
        <is>
          <t>((DWC_USB3_MODE == 0) || (DWC_USB3_MODE == 2))</t>
        </is>
      </c>
      <c r="H13" s="3" t="inlineStr">
        <is>
          <t>TxFIFO最大包数。</t>
        </is>
      </c>
      <c r="I13" s="13" t="inlineStr">
        <is>
          <t>合理：burst FIFO 使用 3 包，非 burst FIFO 使用 2 包，符合 databook 推荐基线。</t>
        </is>
      </c>
    </row>
    <row r="14">
      <c r="A14" s="2" t="n">
        <v>13</v>
      </c>
      <c r="B14" s="3" t="n"/>
      <c r="C14" s="3" t="inlineStr">
        <is>
          <t>DWC_USB3_DEV_TXFn_DEPTH</t>
        </is>
      </c>
      <c r="D14" s="12" t="inlineStr">
        <is>
          <t>n=1,2: 772; n=3..7: 515; n=8..15: 0</t>
        </is>
      </c>
      <c r="E14" s="3" t="inlineStr">
        <is>
          <t>0, ..., 8192</t>
        </is>
      </c>
      <c r="F14" s="3" t="inlineStr">
        <is>
          <t>(DWC_USB3_DEV_TXF1_NUM_MAX_PAC KETS*((((DWC_USB3_DEV_TXF1_M AX_PACKET_SIZE+DWC_USB3_MBYTES)-1)/DWC_USB3_MBYTES)+DWC_USB3_NPI_N))+DWC_USB3_NPI_N</t>
        </is>
      </c>
      <c r="G14" s="3" t="inlineStr">
        <is>
          <t>((DWC_USB3_MODE == 0) || (DWC_USB3_MODE == 2))</t>
        </is>
      </c>
      <c r="H14" s="3" t="inlineStr">
        <is>
          <t>TxFIFO深度(字为单位)。</t>
        </is>
      </c>
      <c r="I14" s="13" t="inlineStr">
        <is>
          <t>合理：TxF1~TxF15 深度已按端点类别分配；未用 FIFO 深度为 0，节省 RAM。</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 width="68" customWidth="1" min="9" max="9"/>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c r="I1" s="1" t="inlineStr">
        <is>
          <t>是否合理</t>
        </is>
      </c>
    </row>
    <row r="2">
      <c r="A2" s="2" t="n">
        <v>1</v>
      </c>
      <c r="B2" s="3" t="inlineStr">
        <is>
          <t>Enable xHCI Debug Capability</t>
        </is>
      </c>
      <c r="C2" s="3" t="inlineStr">
        <is>
          <t>DWC_USB3_EN_DBC</t>
        </is>
      </c>
      <c r="D2" s="3" t="inlineStr">
        <is>
          <t>0</t>
        </is>
      </c>
      <c r="E2" s="12" t="inlineStr">
        <is>
          <t>No (0); Yes (1)</t>
        </is>
      </c>
      <c r="F2" s="3" t="inlineStr">
        <is>
          <t>No</t>
        </is>
      </c>
      <c r="G2" s="12" t="inlineStr">
        <is>
          <t>((DWC_USB3_MODE == 1) || (DWC_USB3_MODE == 2)) &amp;&amp; (DWC_USB3_MDWIDTH != 32) &amp;&amp; (DWC_USB3_EN_USB2_ONLYY == 0)</t>
        </is>
      </c>
      <c r="H2" s="3" t="inlineStr">
        <is>
          <t>启用xHCI调试能力(Debug Capability)。</t>
        </is>
      </c>
      <c r="I2" s="13" t="inlineStr">
        <is>
          <t>合理：32-bit DMA 宽度下 DbC 使能条件不满足，关闭正确。</t>
        </is>
      </c>
    </row>
    <row r="3">
      <c r="A3" s="2" t="n">
        <v>2</v>
      </c>
      <c r="B3" s="3" t="inlineStr">
        <is>
          <t>Number of Host Interrupters (1- 16)</t>
        </is>
      </c>
      <c r="C3" s="3" t="inlineStr">
        <is>
          <t>DWC_USB3_HOST_NUM_INTERRUPTER_SUPT</t>
        </is>
      </c>
      <c r="D3" s="3" t="inlineStr">
        <is>
          <t>1</t>
        </is>
      </c>
      <c r="E3" s="3" t="inlineStr">
        <is>
          <t>1, ..., 16</t>
        </is>
      </c>
      <c r="F3" s="3" t="inlineStr">
        <is>
          <t>1</t>
        </is>
      </c>
      <c r="G3" s="3" t="inlineStr">
        <is>
          <t>DWC_USB3_MODE == 1 || DWC_USB3_MODE == 2</t>
        </is>
      </c>
      <c r="H3" s="3" t="inlineStr">
        <is>
          <t>支持的中断器数量，每个需要100字节内部RAM。建议不超过8个。单处理器SoC配多中断无意义；多核SoC中可将USB中断映射到不同处理器。嵌入式系统建议单中断。</t>
        </is>
      </c>
      <c r="I3" s="13" t="inlineStr">
        <is>
          <t>合理：单 interrupter 适合单核/嵌入式系统。</t>
        </is>
      </c>
    </row>
    <row r="4">
      <c r="A4" s="2" t="n">
        <v>3</v>
      </c>
      <c r="B4" s="12" t="inlineStr">
        <is>
          <t>Enable Separate Descriptor Queues</t>
        </is>
      </c>
      <c r="C4" s="3" t="inlineStr">
        <is>
          <t>DWC_USB3_EN_SEPARATE_DESC_QUEUES</t>
        </is>
      </c>
      <c r="D4" s="3" t="inlineStr">
        <is>
          <t>0</t>
        </is>
      </c>
      <c r="E4" s="12" t="inlineStr">
        <is>
          <t>No (0); Yes (1)</t>
        </is>
      </c>
      <c r="F4" s="12" t="inlineStr">
        <is>
          <t>((DWC_USB3_MODE==1 || DWC_USB3_MODE==2) &amp;&amp; DWC_USB3_MBUS_TYPE!=4 &amp;&amp; DWC_USB3_MDWIDTH&gt;=64 &amp;&amp; DWC_USB3_EN_USB2_ONLYY==0 &amp;&amp; DWC_USB3_HOST_NUM_INTERRUPTER_SUPT&lt;=8) ? 1: 0</t>
        </is>
      </c>
      <c r="G4" s="12" t="inlineStr">
        <is>
          <t>(DWC_USB3_MODE==1 || DWC_USB3_MODE==2) &amp;&amp; DWC_USB3_MBUS_TYPE!=4 &amp;&amp; DWC_USB3_MDWIDTH&gt;=64 &amp;&amp; DWC_USB3_EN_USB2_ONLYY==0 &amp;&amp; DWC_USB3_HOST_NUM_INTERRUPTER_SUPT&lt;=8</t>
        </is>
      </c>
      <c r="H4" s="3" t="inlineStr">
        <is>
          <t>为SS/HS/FS-LS总线实例实现独立描述符队列。推荐启用(未来版本将移除不启用的选项)。可防止SS高流量影响HS/FS-LS QoS。需要额外RAM。</t>
        </is>
      </c>
      <c r="I4" s="13" t="inlineStr">
        <is>
          <t>合理：当前 MDWIDTH=32 不满足该功能的使能条件，关闭正确。</t>
        </is>
      </c>
    </row>
    <row r="5">
      <c r="A5" s="2" t="n">
        <v>4</v>
      </c>
      <c r="B5" s="3" t="inlineStr">
        <is>
          <t>Number of USB2.0 (HS/FS/LS) Root Hub Ports (1-15)</t>
        </is>
      </c>
      <c r="C5" s="3" t="inlineStr">
        <is>
          <t>DWC_USB3_HOST_NUM_U2_ROOT_PORTS</t>
        </is>
      </c>
      <c r="D5" s="3" t="inlineStr">
        <is>
          <t>1</t>
        </is>
      </c>
      <c r="E5" s="3" t="inlineStr">
        <is>
          <t>1, 2, 3, 4, 5, 6, 7, 8, 9, 10, 11, 12, 13, 14, 15</t>
        </is>
      </c>
      <c r="F5" s="3" t="inlineStr">
        <is>
          <t>1</t>
        </is>
      </c>
      <c r="G5" s="3" t="inlineStr">
        <is>
          <t>DWC_USB3_MODE == 1 || DWC_USB3_MODE == 2</t>
        </is>
      </c>
      <c r="H5" s="3" t="inlineStr">
        <is>
          <t>USB 2.0根集线器端口数。每个USB 2.0端口面积约12K门。</t>
        </is>
      </c>
      <c r="I5" s="13" t="inlineStr">
        <is>
          <t>合理：单 USB2 root port 与单口 DRD 应用匹配。</t>
        </is>
      </c>
    </row>
    <row r="6">
      <c r="A6" s="2" t="n">
        <v>5</v>
      </c>
      <c r="B6" s="3" t="inlineStr">
        <is>
          <t>Number of USB3 SS Root Hub Ports (1-15)</t>
        </is>
      </c>
      <c r="C6" s="3" t="inlineStr">
        <is>
          <t>DWC_USB3_HOST_NUM_U3_ROOT_PORTS</t>
        </is>
      </c>
      <c r="D6" s="3" t="inlineStr">
        <is>
          <t>1</t>
        </is>
      </c>
      <c r="E6" s="3" t="inlineStr">
        <is>
          <t>1, 2, 3, 4, 5, 6, 7, 8, 9, 10, 11, 12, 13, 14, 15</t>
        </is>
      </c>
      <c r="F6" s="3" t="inlineStr">
        <is>
          <t>1</t>
        </is>
      </c>
      <c r="G6" s="12" t="inlineStr">
        <is>
          <t>(DWC_USB3_MODE == 1 || DWC_USB3_MODE == 2) &amp;&amp; (DWC_USB3_EN_USB2_ONLYY==0)</t>
        </is>
      </c>
      <c r="H6" s="3" t="inlineStr">
        <is>
          <t>USB 3.0根集线器端口数。每个USB 3.0端口面积约52K门。</t>
        </is>
      </c>
      <c r="I6" s="13" t="inlineStr">
        <is>
          <t>合理：单 USB3 root port 与单口 DRD 应用匹配。</t>
        </is>
      </c>
    </row>
    <row r="7">
      <c r="A7" s="2" t="n">
        <v>6</v>
      </c>
      <c r="B7" s="12" t="inlineStr">
        <is>
          <t>Number of Devices Supported (64 or 127)</t>
        </is>
      </c>
      <c r="C7" s="3" t="inlineStr">
        <is>
          <t>DWC_USB3_NUM_DEVICE_SUPT</t>
        </is>
      </c>
      <c r="D7" s="3" t="inlineStr">
        <is>
          <t>64</t>
        </is>
      </c>
      <c r="E7" s="3" t="inlineStr">
        <is>
          <t>64, 127</t>
        </is>
      </c>
      <c r="F7" s="12" t="inlineStr">
        <is>
          <t>((DWC_USB3_EN_USB2_ONLYY == 0) ? 64 : 64)</t>
        </is>
      </c>
      <c r="G7" s="3" t="inlineStr">
        <is>
          <t>DWC_USB3_MODE == 1 || DWC_USB3_MODE == 2</t>
        </is>
      </c>
      <c r="H7" s="3" t="inlineStr">
        <is>
          <t>主机模式下支持的设备数量。</t>
        </is>
      </c>
      <c r="I7" s="13" t="inlineStr">
        <is>
          <t>合理：64 个设备支持数为合法默认规模；如系统拓扑需求更大再扩展。</t>
        </is>
      </c>
    </row>
    <row r="8">
      <c r="A8" s="2" t="n">
        <v>7</v>
      </c>
      <c r="B8" s="3" t="inlineStr">
        <is>
          <t>Number of Periodic Endpoints Supported (32-510)</t>
        </is>
      </c>
      <c r="C8" s="3" t="inlineStr">
        <is>
          <t>DWC_USB3_HOST_NUM_PERIODIC_EP</t>
        </is>
      </c>
      <c r="D8" s="3" t="inlineStr">
        <is>
          <t>32</t>
        </is>
      </c>
      <c r="E8" s="3" t="inlineStr">
        <is>
          <t>32, ..., 510</t>
        </is>
      </c>
      <c r="F8" s="12" t="inlineStr">
        <is>
          <t>((DWC_USB3_EN_USB2_ONLYY == 0) ? 32 : 32)</t>
        </is>
      </c>
      <c r="G8" s="3" t="inlineStr">
        <is>
          <t>DWC_USB3_MODE == 1 || DWC_USB3_MODE == 2</t>
        </is>
      </c>
      <c r="H8" s="3" t="inlineStr">
        <is>
          <t>所有USB总线实例(SS+HS+FS/LS)的周期性端点数。每个周期性端点需要20字节内部RAM。典型设备(键盘、鼠标、摄像头等)使用1-2个周期性端点。USB-IF兼容性测试配置含约20个周期性端点。</t>
        </is>
      </c>
      <c r="I8" s="13" t="inlineStr">
        <is>
          <t>合理：32 个 periodic endpoint 为合法基线；需按实际音频/视频等时负载评估。</t>
        </is>
      </c>
    </row>
    <row r="9">
      <c r="A9" s="2" t="n">
        <v>8</v>
      </c>
      <c r="B9" s="12" t="inlineStr">
        <is>
          <t>Free-Running USB2 Clock Exists?</t>
        </is>
      </c>
      <c r="C9" s="3" t="inlineStr">
        <is>
          <t>DWC_USB3_FREECLK_USB2_EXIST</t>
        </is>
      </c>
      <c r="D9" s="3" t="inlineStr">
        <is>
          <t>1</t>
        </is>
      </c>
      <c r="E9" s="12" t="inlineStr">
        <is>
          <t>No (0); Yes (1)</t>
        </is>
      </c>
      <c r="F9" s="3" t="inlineStr">
        <is>
          <t>(((DWC_USB3_MODE==1) | (DWC_USB3_MODE==2)))? 1 : 0</t>
        </is>
      </c>
      <c r="G9" s="3" t="inlineStr">
        <is>
          <t>DWC_USB3_MODE == 1 || DWC_USB3_MODE == 2</t>
        </is>
      </c>
      <c r="H9" s="3" t="inlineStr">
        <is>
          <t>USB 2.0 PHY是否提供自由运行时钟。若提供，应连接到utmi_clk[0]输入，内核将其用于内部mac2时钟生成。</t>
        </is>
      </c>
      <c r="I9" s="12" t="inlineStr">
        <is>
          <t>需确认：主机/DRD 下启用 free-running USB2 clock 合法；需确保板级/PHY 提供并满足低功耗时序。</t>
        </is>
      </c>
    </row>
    <row r="10">
      <c r="A10" s="2" t="n">
        <v>9</v>
      </c>
      <c r="B10" s="3" t="inlineStr">
        <is>
          <t>Number of SuperSpeed USB Bus-Instances (1-4)</t>
        </is>
      </c>
      <c r="C10" s="3" t="inlineStr">
        <is>
          <t>DWC_USB3_NUM_SS_USB_INSTANCES</t>
        </is>
      </c>
      <c r="D10" s="3" t="inlineStr">
        <is>
          <t>1</t>
        </is>
      </c>
      <c r="E10" s="3" t="inlineStr">
        <is>
          <t>1, 2, 3, 4</t>
        </is>
      </c>
      <c r="F10" s="3" t="inlineStr">
        <is>
          <t>1</t>
        </is>
      </c>
      <c r="G10" s="12" t="inlineStr">
        <is>
          <t>(DWC_USB3_MODE == 1 || DWC_USB3_MODE == 2) &amp;&amp; DWC_USB3_EN_USB2_ONLYY==0 &amp;&amp; DWC_USB3_HOST_NUM_U3_ROOT_PORTS != 1 &amp;&amp; DWC_USB3_MDBUS_ACCESS_GT21 == 0</t>
        </is>
      </c>
      <c r="H10" s="3" t="inlineStr">
        <is>
          <t>SuperSpeed USB总线实例数。实现并发USB 3.0传输(N个实例×8Gbps)。每个SS实例面积约145K门。不能超过USB 3.0根集线器端口数。</t>
        </is>
      </c>
      <c r="I10" s="13" t="inlineStr">
        <is>
          <t>合理：单 SuperSpeed bus instance 对应单 USB3 root port。</t>
        </is>
      </c>
    </row>
    <row r="11">
      <c r="A11" s="2" t="n">
        <v>10</v>
      </c>
      <c r="B11" s="12" t="inlineStr">
        <is>
          <t>Number of High-Speed USB Bus-Instances (1-4)</t>
        </is>
      </c>
      <c r="C11" s="3" t="inlineStr">
        <is>
          <t>DWC_USB3_NUM_HS_USB_INSTANCES</t>
        </is>
      </c>
      <c r="D11" s="3" t="inlineStr">
        <is>
          <t>1</t>
        </is>
      </c>
      <c r="E11" s="3" t="inlineStr">
        <is>
          <t>1, 2, 3, 4</t>
        </is>
      </c>
      <c r="F11" s="3" t="inlineStr">
        <is>
          <t>1</t>
        </is>
      </c>
      <c r="G11" s="3" t="inlineStr">
        <is>
          <t>(DWC_USB3_MODE == 1 || DWC_USB3_MODE == 2) &amp;&amp; DWC_USB3_HOST_NUM_U2_ROOT_PORTS != 1</t>
        </is>
      </c>
      <c r="H11" s="3" t="inlineStr">
        <is>
          <t>高速USB总线实例数。</t>
        </is>
      </c>
      <c r="I11" s="13" t="inlineStr">
        <is>
          <t>合理：单 High-Speed bus instance 对应单 USB2 root port。</t>
        </is>
      </c>
    </row>
    <row r="12">
      <c r="A12" s="2" t="n">
        <v>11</v>
      </c>
      <c r="B12" s="3" t="inlineStr">
        <is>
          <t>Number of Cached TRBs for Each Debug Capability Endpoint (16-126)It is recommended not to reduce the size from default value. Specifies the number of TRBs that can be cached in the core for each cached endpoint in the Debug Capability. 16 bytes of internal RAM are allocated for each cached TRB. The TRB cache must be large enough to hold TRBs (including Link TRBs) for at least one maximum-packet-size packet. For better performanc e or when system lat ency is large, TRB cache for maximum-burst-size of packets is recommended.</t>
        </is>
      </c>
      <c r="C12" s="3" t="inlineStr">
        <is>
          <t>DWC_USB3_DBC_TRBS_PER_TRANSFER</t>
        </is>
      </c>
      <c r="D12" s="3" t="inlineStr">
        <is>
          <t>16</t>
        </is>
      </c>
      <c r="E12" s="3" t="inlineStr">
        <is>
          <t>16, ..., 126</t>
        </is>
      </c>
      <c r="F12" s="3" t="inlineStr">
        <is>
          <t>16</t>
        </is>
      </c>
      <c r="G12" s="3" t="inlineStr">
        <is>
          <t>DWC_USB3_EN_DBC == 1</t>
        </is>
      </c>
      <c r="H12" s="3" t="inlineStr">
        <is>
          <t>调试能力(DbC)模式下每次传输的TRB缓存数。</t>
        </is>
      </c>
      <c r="I12" s="14" t="inlineStr">
        <is>
          <t>不适用：DbC 已关闭；该配置不影响当前实现。</t>
        </is>
      </c>
    </row>
    <row r="13">
      <c r="A13" s="2" t="n">
        <v>12</v>
      </c>
      <c r="B13" s="3" t="inlineStr">
        <is>
          <t>Number of Cached Endpoints for Each SuperSpeed USB Instance (1-32)Recommended not to reduce the size from default value. Specifies the number of SuperSpeed endpoints that can be cached for each SuperSpeed USB Bus- Instance. (136 + DWC_USB3_HOST_NUM_CACHE_TRB_PER_SS_EP * 16) bytes of internal RAM are allocated for each super speed endpoint cache.</t>
        </is>
      </c>
      <c r="C13" s="3" t="inlineStr">
        <is>
          <t>DWC_USB3_HOST_NUM_CACHE_EP_PER_SS_INSTANCE</t>
        </is>
      </c>
      <c r="D13" s="3" t="inlineStr">
        <is>
          <t>8</t>
        </is>
      </c>
      <c r="E13" s="3" t="inlineStr">
        <is>
          <t>1, ..., 32</t>
        </is>
      </c>
      <c r="F13" s="3" t="inlineStr">
        <is>
          <t>((DWC_USB3_MDBUS_ACCESS_GT21 == 0) ? 8 : 10)</t>
        </is>
      </c>
      <c r="G13" s="12" t="inlineStr">
        <is>
          <t>(DWC_USB3_MODE == 1 || DWC_USB3_MODE == 2) &amp;&amp; (DWC_USB3_EN_USB2_ONLYY==0)</t>
        </is>
      </c>
      <c r="H13" s="3" t="inlineStr">
        <is>
          <t>每个SuperSpeed总线实例缓存的端点数。</t>
        </is>
      </c>
      <c r="I13" s="13" t="inlineStr">
        <is>
          <t>合理：8 个缓存端点为低延迟系统的默认级别；需按并发设备/端点数评估。</t>
        </is>
      </c>
    </row>
    <row r="14">
      <c r="A14" s="2" t="n">
        <v>13</v>
      </c>
      <c r="B14" s="12" t="inlineStr">
        <is>
          <t>Number of Cached TRBs for Each SuperSpeed Endpoint (2-126)</t>
        </is>
      </c>
      <c r="C14" s="3" t="inlineStr">
        <is>
          <t>DWC_USB3_HOST_NUM_CACHE_TRB_PER_SS_EP</t>
        </is>
      </c>
      <c r="D14" s="3" t="inlineStr">
        <is>
          <t>16</t>
        </is>
      </c>
      <c r="E14" s="3" t="inlineStr">
        <is>
          <t>2, ..., 126</t>
        </is>
      </c>
      <c r="F14" s="3" t="inlineStr">
        <is>
          <t>16</t>
        </is>
      </c>
      <c r="G14" s="12" t="inlineStr">
        <is>
          <t>(DWC_USB3_MODE == 1 || DWC_USB3_MODE == 2) &amp;&amp; (DWC_USB3_EN_USB2_ONLYY==0)</t>
        </is>
      </c>
      <c r="H14" s="3" t="inlineStr">
        <is>
          <t>每个SuperSpeed端点缓存的TRB数。</t>
        </is>
      </c>
      <c r="I14" s="13" t="inlineStr">
        <is>
          <t>合理：16 个缓存 TRB 为合法且较充裕的配置。</t>
        </is>
      </c>
    </row>
    <row r="15">
      <c r="A15" s="2" t="n">
        <v>14</v>
      </c>
      <c r="B15" s="3" t="inlineStr">
        <is>
          <t>Number of Cached Endpoints for Each High-Speed USB Instance (1-32)Recommended not to reduce the size from default value. Specifies the number of High-Speed endpoints that can be cached for each High-Speed USB Bus-Instance. (120 + DWC_USB3_HOST_NUM_CACHE_TRB_PER_HS_EP * 16) bytes of internal RAM are allocated for each high speed endpoint cache. If SS is enabled and if the system bus latency is more than 2.1uS, then at least 20 endpoint cache and the following " Number of Cached TRBs for Each Cached High-Speed Endpoint" parameter size can be reduced to 10 from 20 for optimized RAM size.</t>
        </is>
      </c>
      <c r="C15" s="3" t="inlineStr">
        <is>
          <t>DWC_USB3_HOST_NUM_CACHE_EP_PER_HS_INSTANCE</t>
        </is>
      </c>
      <c r="D15" s="3" t="inlineStr">
        <is>
          <t>10</t>
        </is>
      </c>
      <c r="E15" s="3" t="inlineStr">
        <is>
          <t>1, ..., 32</t>
        </is>
      </c>
      <c r="F15" s="12" t="inlineStr">
        <is>
          <t>((DWC_USB3_EN_USB2_ONLYY == 1) ? 8 : (DWC_USB3_MDBUS_ACCESS_GT21 == 0) ? 10 : 20)</t>
        </is>
      </c>
      <c r="G15" s="3" t="inlineStr">
        <is>
          <t>DWC_USB3_MODE == 1 || DWC_USB3_MODE == 2</t>
        </is>
      </c>
      <c r="H15" s="3" t="inlineStr">
        <is>
          <t>每个高速总线实例缓存的端点数。</t>
        </is>
      </c>
      <c r="I15" s="13" t="inlineStr">
        <is>
          <t>合理：10 个缓存端点与当前低延迟假设匹配。</t>
        </is>
      </c>
    </row>
    <row r="16">
      <c r="A16" s="2" t="n">
        <v>15</v>
      </c>
      <c r="B16" s="12" t="inlineStr">
        <is>
          <t>Number of Cached TRBs for Each High-Speed Endpoint (2-126)</t>
        </is>
      </c>
      <c r="C16" s="3" t="inlineStr">
        <is>
          <t>DWC_USB3_HOST_NUM_CACHE_TRB_PER_HS_EP</t>
        </is>
      </c>
      <c r="D16" s="3" t="inlineStr">
        <is>
          <t>8</t>
        </is>
      </c>
      <c r="E16" s="3" t="inlineStr">
        <is>
          <t>2, ..., 126</t>
        </is>
      </c>
      <c r="F16" s="12" t="inlineStr">
        <is>
          <t>((DWC_USB3_EN_USB2_ONLYY == 1) ? 8 : (DWC_USB3_MDBUS_ACCESS_GT21 == 0) ? 8 : 10)</t>
        </is>
      </c>
      <c r="G16" s="3" t="inlineStr">
        <is>
          <t>DWC_USB3_MODE == 1 || DWC_USB3_MODE == 2</t>
        </is>
      </c>
      <c r="H16" s="3" t="inlineStr">
        <is>
          <t>每个高速端点缓存的TRB数。</t>
        </is>
      </c>
      <c r="I16" s="13" t="inlineStr">
        <is>
          <t>合理：8 个缓存 TRB 与当前低延迟假设匹配。</t>
        </is>
      </c>
    </row>
    <row r="17">
      <c r="A17" s="2" t="n">
        <v>16</v>
      </c>
      <c r="B17" s="3" t="inlineStr">
        <is>
          <t>Number of Cached Endpoints for Each Full/Low-Speed USB Instance (1-32)Recommended not to reduce the size from default value. Specifies the number of Full/Low-Speed endpoints that can be cached for each Full/Low-Speed USB Bus-Instance. (120 + DWC_USB3_HOST_NUM_CACHE_TRB_PER_FSLS_EP * 16) bytes of internal RAM are allocated for each full/low speed endpoint cache.</t>
        </is>
      </c>
      <c r="C17" s="3" t="inlineStr">
        <is>
          <t>DWC_USB3_HOST_NUM_CACHE_EP_PER_FSLS_INSTANCE</t>
        </is>
      </c>
      <c r="D17" s="3" t="inlineStr">
        <is>
          <t>2</t>
        </is>
      </c>
      <c r="E17" s="3" t="inlineStr">
        <is>
          <t>1, ..., 32</t>
        </is>
      </c>
      <c r="F17" s="12" t="inlineStr">
        <is>
          <t>((DWC_USB3_EN_USB2_ONLYY == 1) ? 2 : (DWC_USB3_MDBUS_ACCESS_GT21 == 0) ? 2 : 4)</t>
        </is>
      </c>
      <c r="G17" s="3" t="inlineStr">
        <is>
          <t>DWC_USB3_MODE == 1 || DWC_USB3_MODE == 2</t>
        </is>
      </c>
      <c r="H17" s="3" t="inlineStr">
        <is>
          <t>每个全速/低速总线实例缓存的端点数。</t>
        </is>
      </c>
      <c r="I17" s="13" t="inlineStr">
        <is>
          <t>合理：2 个缓存端点为 FS/LS 的低延迟默认配置。</t>
        </is>
      </c>
    </row>
    <row r="18">
      <c r="A18" s="2" t="n">
        <v>17</v>
      </c>
      <c r="B18" s="12" t="inlineStr">
        <is>
          <t>Number of Cached TRBs for Each Full/Low-Speed Endpoint (2-126)</t>
        </is>
      </c>
      <c r="C18" s="3" t="inlineStr">
        <is>
          <t>DWC_USB3_HOST_NUM_CACHE_TRB_PER_FSLS_EP</t>
        </is>
      </c>
      <c r="D18" s="3" t="inlineStr">
        <is>
          <t>8</t>
        </is>
      </c>
      <c r="E18" s="3" t="inlineStr">
        <is>
          <t>2, ..., 126</t>
        </is>
      </c>
      <c r="F18" s="12" t="inlineStr">
        <is>
          <t>((DWC_USB3_EN_USB2_ONLYY == 1) ? 8 : (DWC_USB3_MDBUS_ACCESS_GT21 == 0) ? 8 : 10)</t>
        </is>
      </c>
      <c r="G18" s="3" t="inlineStr">
        <is>
          <t>DWC_USB3_MODE == 1 || DWC_USB3_MODE == 2</t>
        </is>
      </c>
      <c r="H18" s="3" t="inlineStr">
        <is>
          <t>每个全速/低速端点缓存的TRB数。</t>
        </is>
      </c>
      <c r="I18" s="13" t="inlineStr">
        <is>
          <t>合理：8 个缓存 TRB 与当前低延迟假设匹配。</t>
        </is>
      </c>
    </row>
    <row r="19">
      <c r="A19" s="2" t="n">
        <v>18</v>
      </c>
      <c r="B19" s="3" t="inlineStr">
        <is>
          <t>Size of the SuperSpeed RxFIFO in Number of 1024-byte Packets - Per SS Bus-Instance (1-32)Recommended not to reduce the size from default value. Specifies the size of the SuperSpeed RxFIFO in number of 1024-byte packets per SS Bus-Instance. Each SuperSpeed USB Bus-Instance would require one RxFIFO. For example, if you have 2 SS Bus-Instances and chose 3 for this parameter, then 6144 bytes of RAM is allocated for SS RxFIFO. Each 1024 bytes provides a 2.1us latency tolerance. If the system bus latency is more than 2.1uS, then at least a 5 to 6 packet buffer is recommended. For more information, see the "Memory Requirements" section in the Databook.</t>
        </is>
      </c>
      <c r="C19" s="3" t="inlineStr">
        <is>
          <t>DWC_USB3_NUM_RXF_SS_PKTS</t>
        </is>
      </c>
      <c r="D19" s="3" t="inlineStr">
        <is>
          <t>3</t>
        </is>
      </c>
      <c r="E19" s="3" t="inlineStr">
        <is>
          <t>1, ..., 32</t>
        </is>
      </c>
      <c r="F19" s="3" t="inlineStr">
        <is>
          <t>((DWC_USB3_MDBUS_ACCESS_GT21 == 0) ? 3 : 5)</t>
        </is>
      </c>
      <c r="G19" s="12" t="inlineStr">
        <is>
          <t>(DWC_USB3_MODE == 1 || DWC_USB3_MODE == 2) &amp;&amp; DWC_USB3_MBUS_TYPE!=4 &amp;&amp; (D WC_USB3_EN_USB2_ONLY==0)</t>
        </is>
      </c>
      <c r="H19" s="3" t="inlineStr">
        <is>
          <t>SuperSpeed RxFIFO包数。</t>
        </is>
      </c>
      <c r="I19" s="13" t="inlineStr">
        <is>
          <t>合理：3 个 SS RxFIFO 包符合低延迟系统推荐；高延迟系统应评估 5 包。</t>
        </is>
      </c>
    </row>
    <row r="20">
      <c r="A20" s="2" t="n">
        <v>19</v>
      </c>
      <c r="B20" s="12" t="inlineStr">
        <is>
          <t>Size of the High-Speed RxFIFO in Number of 1024-byte Packets - Per HS Bus-Instance (1-16)</t>
        </is>
      </c>
      <c r="C20" s="3" t="inlineStr">
        <is>
          <t>DWC_USB3_NUM_RXF_HS_PKTS</t>
        </is>
      </c>
      <c r="D20" s="3" t="inlineStr">
        <is>
          <t>2</t>
        </is>
      </c>
      <c r="E20" s="3" t="inlineStr">
        <is>
          <t>1, ..., 16</t>
        </is>
      </c>
      <c r="F20" s="3" t="inlineStr">
        <is>
          <t>((DWC_USB3_MDBUS_ACCESS_GT21 == 0) ? 2 : 3)</t>
        </is>
      </c>
      <c r="G20" s="3" t="inlineStr">
        <is>
          <t>(DWC_USB3_MODE == 1 || DWC_USB3_MODE == 2) &amp;&amp; DWC_USB3_MBUS_TYPE!=4</t>
        </is>
      </c>
      <c r="H20" s="3" t="inlineStr">
        <is>
          <t>高速RxFIFO包数。</t>
        </is>
      </c>
      <c r="I20" s="13" t="inlineStr">
        <is>
          <t>合理：2 个 HS RxFIFO 包符合低延迟系统推荐。</t>
        </is>
      </c>
    </row>
    <row r="21">
      <c r="A21" s="2" t="n">
        <v>20</v>
      </c>
      <c r="B21" s="3" t="inlineStr">
        <is>
          <t>Size of the Full-Speed/Low- Speed RxFIFO in Number of 1024-byte Packets - Per FS/LS Bus-Instance (1-4)Recommended not to reduce the size from default value. Specifies the size of the Full-Speed/Low-Speed RxFIFO in number of 1024-byte packets per FS/LS Bus-Instance. Each Full-Speed/Low-Speed USB Bus-Instance requires one RxFIFO. For example, if you have 1 FS/LS Bus-Instances and chose 1 for this parameter, then 1024 bytes of RAM is allocated for FS/LS RxFIFO. Since FS ISOC max payload size is 1023, at least 1024 bytes must be allocated for FS/LS RxFIFO. For more information, see the "Memory Requirements" section of the Databook.</t>
        </is>
      </c>
      <c r="C21" s="3" t="inlineStr">
        <is>
          <t>DWC_USB3_NUM_RXF_FSLS_PKTS</t>
        </is>
      </c>
      <c r="D21" s="3" t="inlineStr">
        <is>
          <t>1</t>
        </is>
      </c>
      <c r="E21" s="3" t="inlineStr">
        <is>
          <t>1, ..., 4</t>
        </is>
      </c>
      <c r="F21" s="3" t="inlineStr">
        <is>
          <t>1</t>
        </is>
      </c>
      <c r="G21" s="3" t="inlineStr">
        <is>
          <t>(DWC_USB3_MODE == 1 || DWC_USB3_MODE == 2) &amp;&amp; DWC_USB3_MBUS_TYPE!=4</t>
        </is>
      </c>
      <c r="H21" s="3" t="inlineStr">
        <is>
          <t>全速/低速RxFIFO包数。</t>
        </is>
      </c>
      <c r="I21" s="13" t="inlineStr">
        <is>
          <t>合理：1 个 FS/LS RxFIFO 包为合法默认值。</t>
        </is>
      </c>
    </row>
    <row r="22">
      <c r="A22" s="2" t="n">
        <v>21</v>
      </c>
      <c r="B22" s="3" t="inlineStr">
        <is>
          <t>Size of the SuperSpeed TxFIFO in Number of 1024-byte Packets - Per SS Bus-Instance (1-32)Recommended not to reduce the size from default value. Specifies the size of the SuperSpeed TxFIFO in number of 1024-byte packets per SS Bus-Instance. Each SuperSpeed USB Bus-Instance requires one TxFIFO. For example, if you have 2 SS Bus-Instances and chose 4 for this parameter, then 8182 bytes of RAM is allocated for SS TxFIFO. In a PCIe applicat ion, the read access has more latency than write. It is recommended to allocate more TxFIFO than RxFIFO which gives better area and performance trade off. Each 1024byte provides a 2.1us latency tolerance. If the system bus latency is more than 2.1uS, then at least a 5 to 6 packet buffer is recommended. For more information, see the "Memory Requirements" section of the Databook.</t>
        </is>
      </c>
      <c r="C22" s="3" t="inlineStr">
        <is>
          <t>DWC_USB3_NUM_TXF_SS_PKTS</t>
        </is>
      </c>
      <c r="D22" s="3" t="inlineStr">
        <is>
          <t>4</t>
        </is>
      </c>
      <c r="E22" s="3" t="inlineStr">
        <is>
          <t>1, ..., 32</t>
        </is>
      </c>
      <c r="F22" s="3" t="inlineStr">
        <is>
          <t>((DWC_USB3_MDBUS_ACCESS_GT21 == 0) ? 4 : 5)</t>
        </is>
      </c>
      <c r="G22" s="12" t="inlineStr">
        <is>
          <t>(DWC_USB3_MODE == 1 || DWC_USB3_MODE == 2) &amp;&amp; DWC_USB3_MBUS_TYPE!=4 &amp;&amp; (D WC_USB3_EN_USB2_ONLY==0)</t>
        </is>
      </c>
      <c r="H22" s="3" t="inlineStr">
        <is>
          <t>SuperSpeed TxFIFO包数。</t>
        </is>
      </c>
      <c r="I22" s="13" t="inlineStr">
        <is>
          <t>合理：4 个 SS TxFIFO 包符合低延迟系统推荐。</t>
        </is>
      </c>
    </row>
    <row r="23">
      <c r="A23" s="2" t="n">
        <v>22</v>
      </c>
      <c r="B23" s="12" t="inlineStr">
        <is>
          <t>Size of the High-Speed TxFIFO in Number of 1024-byte Packets - Per HS Bus-Instance (1-16)</t>
        </is>
      </c>
      <c r="C23" s="3" t="inlineStr">
        <is>
          <t>DWC_USB3_NUM_TXF_HS_PKTS</t>
        </is>
      </c>
      <c r="D23" s="3" t="inlineStr">
        <is>
          <t>2</t>
        </is>
      </c>
      <c r="E23" s="3" t="inlineStr">
        <is>
          <t>1, ..., 16</t>
        </is>
      </c>
      <c r="F23" s="3" t="inlineStr">
        <is>
          <t>((DWC_USB3_MDBUS_ACCESS_GT21 == 0) ? 2 : 3)</t>
        </is>
      </c>
      <c r="G23" s="3" t="inlineStr">
        <is>
          <t>(DWC_USB3_MODE == 1 || DWC_USB3_MODE == 2) &amp;&amp; DWC_USB3_MBUS_TYPE!=4</t>
        </is>
      </c>
      <c r="H23" s="3" t="inlineStr">
        <is>
          <t>高速TxFIFO包数。</t>
        </is>
      </c>
      <c r="I23" s="13" t="inlineStr">
        <is>
          <t>合理：2 个 HS TxFIFO 包符合低延迟系统推荐。</t>
        </is>
      </c>
    </row>
    <row r="24">
      <c r="A24" s="2" t="n">
        <v>23</v>
      </c>
      <c r="B24" s="3" t="inlineStr">
        <is>
          <t>Size of the Full-Speed/Low- Speed TxFIFO in Number of 1024-byte Packets - Per FS/LS Bus-Instance (1-4)Recommended not to reduce the size from default value. Specifies the size of the Full-Speed/Low-Speed TxFIFO in number of 1024-byte packets per FS/LS Bus-Instance. Each Full-Speed/Low-Speed USB Bus-Instance requires one TxFIFO. For example, if you have 1 FS/LS Bus-Instances and chose 1 for this parameter, then 1024 bytes of RAM is allocated for FS/LS TxFIFO. Sinc e FS ISOC max payload size is 1023, at least 1024 bytes should be allocated for FS/LS TxFIFO. For more information, see the "Memory Requirements" section of the Databook.</t>
        </is>
      </c>
      <c r="C24" s="3" t="inlineStr">
        <is>
          <t>DWC_USB3_NUM_TXF_FSLS_PKTS</t>
        </is>
      </c>
      <c r="D24" s="3" t="inlineStr">
        <is>
          <t>1</t>
        </is>
      </c>
      <c r="E24" s="3" t="inlineStr">
        <is>
          <t>1, ..., 4</t>
        </is>
      </c>
      <c r="F24" s="3" t="inlineStr">
        <is>
          <t>1</t>
        </is>
      </c>
      <c r="G24" s="3" t="inlineStr">
        <is>
          <t>(DWC_USB3_MODE == 1 || DWC_USB3_MODE == 2) &amp;&amp; DWC_USB3_MBUS_TYPE!=4</t>
        </is>
      </c>
      <c r="H24" s="3" t="inlineStr">
        <is>
          <t>全速/低速TxFIFO包数。</t>
        </is>
      </c>
      <c r="I24" s="13" t="inlineStr">
        <is>
          <t>合理：1 个 FS/LS TxFIFO 包为合法默认值。</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 width="68" customWidth="1" min="9" max="9"/>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c r="I1" s="1" t="inlineStr">
        <is>
          <t>是否合理</t>
        </is>
      </c>
    </row>
    <row r="2">
      <c r="A2" s="2" t="n">
        <v>1</v>
      </c>
      <c r="B2" s="3" t="inlineStr">
        <is>
          <t>Number of USB 3.0 Capable Hub Ports (1-15)</t>
        </is>
      </c>
      <c r="C2" s="3" t="inlineStr">
        <is>
          <t>DWC_USB3_HUB_NUM_U3_PORTS</t>
        </is>
      </c>
      <c r="D2" s="3" t="inlineStr">
        <is>
          <t>4</t>
        </is>
      </c>
      <c r="E2" s="3" t="inlineStr">
        <is>
          <t>1, 2, 3, 4, 5, 6, 7, 8, 9, 10, 11, 12, 13, 14, 15</t>
        </is>
      </c>
      <c r="F2" s="3" t="inlineStr">
        <is>
          <t>4</t>
        </is>
      </c>
      <c r="G2" s="3" t="inlineStr">
        <is>
          <t>DWC_USB3_MODE == 3</t>
        </is>
      </c>
      <c r="H2" s="3" t="inlineStr">
        <is>
          <t>Hub模式下USB 3.0下行端口数量。</t>
        </is>
      </c>
      <c r="I2" s="14" t="inlineStr">
        <is>
          <t>不适用：当前 DWC_USB3_MODE=2（DRD），Hub 专用参数不参与当前 RTL 功能。</t>
        </is>
      </c>
    </row>
    <row r="3">
      <c r="A3" s="2" t="n">
        <v>2</v>
      </c>
      <c r="B3" s="3" t="inlineStr">
        <is>
          <t>Enable Xilinx Serial Flash- RAM/PROM Support</t>
        </is>
      </c>
      <c r="C3" s="3" t="inlineStr">
        <is>
          <t>DWC_USB3_EN_HUB_SFLASH_SUPT</t>
        </is>
      </c>
      <c r="D3" s="3" t="inlineStr">
        <is>
          <t>0</t>
        </is>
      </c>
      <c r="E3" s="12" t="inlineStr">
        <is>
          <t>No (0); Yes (1)</t>
        </is>
      </c>
      <c r="F3" s="3" t="inlineStr">
        <is>
          <t>No</t>
        </is>
      </c>
      <c r="G3" s="3" t="inlineStr">
        <is>
          <t>DWC_USB3_MODE == 3</t>
        </is>
      </c>
      <c r="H3" s="3" t="inlineStr">
        <is>
          <t>是否启用Xilinx串行Flash/PROM加载Hub描述符。Hub描述符需256字节(2048位)空间。</t>
        </is>
      </c>
      <c r="I3" s="14" t="inlineStr">
        <is>
          <t>不适用：当前 DWC_USB3_MODE=2（DRD），Hub 专用参数不参与当前 RTL 功能。</t>
        </is>
      </c>
    </row>
    <row r="4">
      <c r="A4" s="2" t="n">
        <v>3</v>
      </c>
      <c r="B4" s="3" t="inlineStr">
        <is>
          <t>Mac Clock (125MHz) to Xilinx Serial Flash-RAM/PROM Clock Divide Factor</t>
        </is>
      </c>
      <c r="C4" s="3" t="inlineStr">
        <is>
          <t>DWC_USB3_HUB_SFLASH_DIVFACTOR</t>
        </is>
      </c>
      <c r="D4" s="3" t="inlineStr">
        <is>
          <t>16</t>
        </is>
      </c>
      <c r="E4" s="3" t="inlineStr">
        <is>
          <t>4, ..., 128</t>
        </is>
      </c>
      <c r="F4" s="3" t="inlineStr">
        <is>
          <t>16</t>
        </is>
      </c>
      <c r="G4" s="3" t="inlineStr">
        <is>
          <t>DWC_USB3_MODE == 3</t>
        </is>
      </c>
      <c r="H4" s="3" t="inlineStr">
        <is>
          <t>MAC时钟(125MHz)到串行Flash/PROM时钟的分频因子。典型Xilinx串行Flash工作频率范围2.5~20MHz。</t>
        </is>
      </c>
      <c r="I4" s="14" t="inlineStr">
        <is>
          <t>不适用：当前 DWC_USB3_MODE=2（DRD），Hub 专用参数不参与当前 RTL 功能。</t>
        </is>
      </c>
    </row>
    <row r="5">
      <c r="A5" s="2" t="n">
        <v>4</v>
      </c>
      <c r="B5" s="3" t="inlineStr">
        <is>
          <t>Enable JTAG Debug support</t>
        </is>
      </c>
      <c r="C5" s="3" t="inlineStr">
        <is>
          <t>DWC_USB3_JTAG_INTERFACE</t>
        </is>
      </c>
      <c r="D5" s="3" t="inlineStr">
        <is>
          <t>0</t>
        </is>
      </c>
      <c r="E5" s="12" t="inlineStr">
        <is>
          <t>No (0); Yes (1)</t>
        </is>
      </c>
      <c r="F5" s="3" t="inlineStr">
        <is>
          <t>(DWC_USB3_MODE==3)? 1 : 0</t>
        </is>
      </c>
      <c r="G5" s="3" t="inlineStr">
        <is>
          <t>DWC_USB3_MODE ==3</t>
        </is>
      </c>
      <c r="H5" s="3" t="inlineStr">
        <is>
          <t>是否启用JTAG调试接口。</t>
        </is>
      </c>
      <c r="I5" s="14" t="inlineStr">
        <is>
          <t>不适用：当前 DWC_USB3_MODE=2（DRD），Hub 专用参数不参与当前 RTL 功能。</t>
        </is>
      </c>
    </row>
    <row r="6">
      <c r="A6" s="2" t="n">
        <v>5</v>
      </c>
      <c r="B6" s="12" t="inlineStr">
        <is>
          <t>Number of Headers in Each Rx Header Buffer?</t>
        </is>
      </c>
      <c r="C6" s="3" t="inlineStr">
        <is>
          <t>DWC_USB3_HUB_NUM_RXHEADERS</t>
        </is>
      </c>
      <c r="D6" s="3" t="inlineStr">
        <is>
          <t>4</t>
        </is>
      </c>
      <c r="E6" s="3" t="inlineStr">
        <is>
          <t>4 (4); 8 (8)</t>
        </is>
      </c>
      <c r="F6" s="3" t="inlineStr">
        <is>
          <t>4</t>
        </is>
      </c>
      <c r="G6" s="3" t="inlineStr">
        <is>
          <t>DWC_USB3_MODE ==3</t>
        </is>
      </c>
      <c r="H6" s="3" t="inlineStr">
        <is>
          <t>每个Rx头部缓冲区中的头部数量。</t>
        </is>
      </c>
      <c r="I6" s="14" t="inlineStr">
        <is>
          <t>不适用：当前 DWC_USB3_MODE=2（DRD），Hub 专用参数不参与当前 RTL 功能。</t>
        </is>
      </c>
    </row>
    <row r="7">
      <c r="A7" s="2" t="n">
        <v>6</v>
      </c>
      <c r="B7" s="3" t="inlineStr">
        <is>
          <t>Number of Headers in Each Tx Header Buffer</t>
        </is>
      </c>
      <c r="C7" s="3" t="inlineStr">
        <is>
          <t>DWC_USB3_HUB_NUM_TXHEADERS</t>
        </is>
      </c>
      <c r="D7" s="3" t="inlineStr">
        <is>
          <t>4</t>
        </is>
      </c>
      <c r="E7" s="3" t="inlineStr">
        <is>
          <t>4 (4); 8 (8)</t>
        </is>
      </c>
      <c r="F7" s="3" t="inlineStr">
        <is>
          <t>4</t>
        </is>
      </c>
      <c r="G7" s="3" t="inlineStr">
        <is>
          <t>DWC_USB3_MODE ==3</t>
        </is>
      </c>
      <c r="H7" s="3" t="inlineStr">
        <is>
          <t>每个Tx头部缓冲区中的头部数量。</t>
        </is>
      </c>
      <c r="I7" s="14" t="inlineStr">
        <is>
          <t>不适用：当前 DWC_USB3_MODE=2（DRD），Hub 专用参数不参与当前 RTL 功能。</t>
        </is>
      </c>
    </row>
    <row r="8">
      <c r="A8" s="2" t="n">
        <v>7</v>
      </c>
      <c r="B8" s="3" t="inlineStr">
        <is>
          <t>Number of Packets in Upstream Rx Data Packet Buffer</t>
        </is>
      </c>
      <c r="C8" s="3" t="inlineStr">
        <is>
          <t>DWC_USB3_HUB_NUM_UPSTRMRX_DATAPKTS</t>
        </is>
      </c>
      <c r="D8" s="3" t="inlineStr">
        <is>
          <t>1</t>
        </is>
      </c>
      <c r="E8" s="3" t="inlineStr">
        <is>
          <t>1 (1); 2 (2); 3 (3); 4 (4); 5 (5); 6 (6); 7 (7); 8 (8)</t>
        </is>
      </c>
      <c r="F8" s="3" t="inlineStr">
        <is>
          <t>1</t>
        </is>
      </c>
      <c r="G8" s="3" t="inlineStr">
        <is>
          <t>DWC_USB3_MODE ==3</t>
        </is>
      </c>
      <c r="H8" s="3" t="inlineStr">
        <is>
          <t>上行Rx数据包缓冲区中包的数量。每个包需要1024字节空间。</t>
        </is>
      </c>
      <c r="I8" s="14" t="inlineStr">
        <is>
          <t>不适用：当前 DWC_USB3_MODE=2（DRD），Hub 专用参数不参与当前 RTL 功能。</t>
        </is>
      </c>
    </row>
    <row r="9">
      <c r="A9" s="2" t="n">
        <v>8</v>
      </c>
      <c r="B9" s="12" t="inlineStr">
        <is>
          <t>Number of Packets in Upstream Tx Data Packet Buffer?</t>
        </is>
      </c>
      <c r="C9" s="3" t="inlineStr">
        <is>
          <t>DWC_USB3_HUB_NUM_UPSTRMTX_DATAPKTS</t>
        </is>
      </c>
      <c r="D9" s="3" t="inlineStr">
        <is>
          <t>1</t>
        </is>
      </c>
      <c r="E9" s="3" t="inlineStr">
        <is>
          <t>1 (1); 2 (2); 3 (3); 4 (4); 5 (5); 6 (6); 7 (7); 8 (8)</t>
        </is>
      </c>
      <c r="F9" s="3" t="inlineStr">
        <is>
          <t>1</t>
        </is>
      </c>
      <c r="G9" s="3" t="inlineStr">
        <is>
          <t>DWC_USB3_MODE ==3</t>
        </is>
      </c>
      <c r="H9" s="3" t="inlineStr">
        <is>
          <t>上行Tx数据包缓冲区中包的数量。每个包需要1024字节空间。</t>
        </is>
      </c>
      <c r="I9" s="14" t="inlineStr">
        <is>
          <t>不适用：当前 DWC_USB3_MODE=2（DRD），Hub 专用参数不参与当前 RTL 功能。</t>
        </is>
      </c>
    </row>
    <row r="10">
      <c r="A10" s="2" t="n">
        <v>9</v>
      </c>
      <c r="B10" s="3" t="inlineStr">
        <is>
          <t>Depth of the Descriptor ROM or Serial-Flash (in 32-bit Dwords)</t>
        </is>
      </c>
      <c r="C10" s="3" t="inlineStr">
        <is>
          <t>DWC_USB3_HUB_DESC_DEPTH</t>
        </is>
      </c>
      <c r="D10" s="3" t="inlineStr">
        <is>
          <t>64</t>
        </is>
      </c>
      <c r="E10" s="3" t="inlineStr">
        <is>
          <t>64 (64); 128 (128); 256 (256)</t>
        </is>
      </c>
      <c r="F10" s="3" t="inlineStr">
        <is>
          <t>64</t>
        </is>
      </c>
      <c r="G10" s="3" t="inlineStr">
        <is>
          <t>DWC_USB3_MODE ==3</t>
        </is>
      </c>
      <c r="H10" s="3" t="inlineStr">
        <is>
          <t>描述符ROM或串行Flash深度(32位字为单位)。如值64表示256字节(64×4)ROM。</t>
        </is>
      </c>
      <c r="I10" s="14" t="inlineStr">
        <is>
          <t>不适用：当前 DWC_USB3_MODE=2（DRD），Hub 专用参数不参与当前 RTL 功能。</t>
        </is>
      </c>
    </row>
    <row r="11">
      <c r="A11" s="2" t="n">
        <v>10</v>
      </c>
      <c r="B11" s="3" t="inlineStr">
        <is>
          <t>Starting Depth of the SS Descriptors in the ROM or Serial-Flash (in 32-bit Dwords)</t>
        </is>
      </c>
      <c r="C11" s="3" t="inlineStr">
        <is>
          <t>DWC_USB3_HUB_DESC_SS_START_DEPTH</t>
        </is>
      </c>
      <c r="D11" s="3" t="inlineStr">
        <is>
          <t>0</t>
        </is>
      </c>
      <c r="E11" s="3" t="inlineStr">
        <is>
          <t>0 (0); 64 (64); 128 (128)</t>
        </is>
      </c>
      <c r="F11" s="3" t="inlineStr">
        <is>
          <t>0</t>
        </is>
      </c>
      <c r="G11" s="3" t="inlineStr">
        <is>
          <t>DWC_USB3_MODE ==3</t>
        </is>
      </c>
      <c r="H11" s="3" t="inlineStr">
        <is>
          <t>描述符ROM中DWC_usb3核心使用的起始深度。若USB 2.0 Hub和USB 3.0 SS Hub共用ROM，低地址存USB 2.0数据，高地址存SS Hub数据。</t>
        </is>
      </c>
      <c r="I11" s="14" t="inlineStr">
        <is>
          <t>不适用：当前 DWC_USB3_MODE=2（DRD），Hub 专用参数不参与当前 RTL 功能。</t>
        </is>
      </c>
    </row>
    <row r="12">
      <c r="A12" s="2" t="n">
        <v>11</v>
      </c>
      <c r="B12" s="12" t="inlineStr">
        <is>
          <t>Enable VCI?</t>
        </is>
      </c>
      <c r="C12" s="3" t="inlineStr">
        <is>
          <t>DWC_USB3_HUB_ENABLE_VCI</t>
        </is>
      </c>
      <c r="D12" s="3" t="inlineStr">
        <is>
          <t>0</t>
        </is>
      </c>
      <c r="E12" s="3" t="inlineStr">
        <is>
          <t>Disable (0); Enable (1)</t>
        </is>
      </c>
      <c r="F12" s="3">
        <f> 0</f>
        <v/>
      </c>
      <c r="G12" s="3" t="inlineStr">
        <is>
          <t>DWC_USB3_MODE ==3</t>
        </is>
      </c>
      <c r="H12" s="3" t="inlineStr">
        <is>
          <t>启用供应商控制命令接口(VCI)。使能后Hub不STALL供应商控制命令，而是通过VCI接口传到外部解码。禁用时Hub STALL所有供应商控制命令。</t>
        </is>
      </c>
      <c r="I12" s="14" t="inlineStr">
        <is>
          <t>不适用：当前 DWC_USB3_MODE=2（DRD），Hub 专用参数不参与当前 RTL 功能。</t>
        </is>
      </c>
    </row>
    <row r="13">
      <c r="A13" s="2" t="n">
        <v>12</v>
      </c>
      <c r="B13" s="3" t="inlineStr">
        <is>
          <t>Scrambling</t>
        </is>
      </c>
      <c r="C13" s="3" t="inlineStr">
        <is>
          <t>DWC_USB3_HUB_ENABLE_SCRAMBLING</t>
        </is>
      </c>
      <c r="D13" s="3" t="inlineStr">
        <is>
          <t>0</t>
        </is>
      </c>
      <c r="E13" s="3" t="inlineStr">
        <is>
          <t>Disable (0); Enable (1)</t>
        </is>
      </c>
      <c r="F13" s="3">
        <f> 0</f>
        <v/>
      </c>
      <c r="G13" s="3" t="inlineStr">
        <is>
          <t>DWC_USB3_MODE ==3</t>
        </is>
      </c>
      <c r="H13" s="3" t="inlineStr">
        <is>
          <t>仿真用控制参数。控制Hub测试时加扰的启用/禁用，直接驱动hub_enable_scrambling输入引脚。</t>
        </is>
      </c>
      <c r="I13" s="14" t="inlineStr">
        <is>
          <t>不适用：当前 DWC_USB3_MODE=2（DRD），Hub 专用参数不参与当前 RTL 功能。</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5" customWidth="1" min="1" max="1"/>
    <col width="40" customWidth="1" min="2" max="2"/>
    <col width="45" customWidth="1" min="3" max="3"/>
    <col width="15" customWidth="1" min="4" max="4"/>
    <col width="50" customWidth="1" min="5" max="5"/>
    <col width="50" customWidth="1" min="6" max="6"/>
    <col width="45" customWidth="1" min="7" max="7"/>
    <col width="50" customWidth="1" min="8" max="8"/>
    <col width="68" customWidth="1" min="9" max="9"/>
  </cols>
  <sheetData>
    <row r="1">
      <c r="A1" s="1" t="inlineStr">
        <is>
          <t>No.</t>
        </is>
      </c>
      <c r="B1" s="1" t="inlineStr">
        <is>
          <t>Label</t>
        </is>
      </c>
      <c r="C1" s="1" t="inlineStr">
        <is>
          <t>Parameter Name</t>
        </is>
      </c>
      <c r="D1" s="1" t="inlineStr">
        <is>
          <t>IP配置</t>
        </is>
      </c>
      <c r="E1" s="1" t="inlineStr">
        <is>
          <t>Values</t>
        </is>
      </c>
      <c r="F1" s="1" t="inlineStr">
        <is>
          <t>Default Value</t>
        </is>
      </c>
      <c r="G1" s="1" t="inlineStr">
        <is>
          <t>Enabled</t>
        </is>
      </c>
      <c r="H1" s="1" t="inlineStr">
        <is>
          <t>Description</t>
        </is>
      </c>
      <c r="I1" s="1" t="inlineStr">
        <is>
          <t>是否合理</t>
        </is>
      </c>
    </row>
    <row r="2">
      <c r="A2" s="2" t="n">
        <v>1</v>
      </c>
      <c r="B2" s="12" t="inlineStr">
        <is>
          <t>Global System Bus Configuration Register-0's (GSBUSCFG0) Power-On Initialization Value (0x0-ffffffff)</t>
        </is>
      </c>
      <c r="C2" s="3" t="inlineStr">
        <is>
          <t>DWC_USB3_GSBUSCFG0_INIT</t>
        </is>
      </c>
      <c r="D2" s="3" t="inlineStr">
        <is>
          <t>32'h1</t>
        </is>
      </c>
      <c r="E2" s="3" t="inlineStr">
        <is>
          <t>0x0, ..., 0xffffffff</t>
        </is>
      </c>
      <c r="F2" s="3" t="inlineStr">
        <is>
          <t>0x1</t>
        </is>
      </c>
      <c r="G2" s="3" t="inlineStr">
        <is>
          <t>(DWC_USB3_MODE == 0 || DWC_USB3_MODE == 1 || DWC_USB3_MODE == 2) &amp;&amp; DWC_USB3_MBUS_TYPE!=4</t>
        </is>
      </c>
      <c r="H2" s="3" t="inlineStr">
        <is>
          <t>全局系统总线配置寄存器0(GSBUSCFG0)上电初始值，定义系统总线配置。包含端序控制、写发布、各INCR突发类型使能等位字段。</t>
        </is>
      </c>
      <c r="I2" s="12" t="inlineStr">
        <is>
          <t>需确认：初始化值合法；应与 AXI burst 类型、端序、cache/protection 和 posted write 策略匹配。</t>
        </is>
      </c>
    </row>
    <row r="3">
      <c r="A3" s="2" t="n">
        <v>2</v>
      </c>
      <c r="B3" s="12" t="inlineStr">
        <is>
          <t>Global System Bus Configuration Register-1's (GSBUSCFG1) Power-On Initialization Value (0x0-ffffffff)</t>
        </is>
      </c>
      <c r="C3" s="3" t="inlineStr">
        <is>
          <t>DWC_USB3_GSBUSCFG1_INIT</t>
        </is>
      </c>
      <c r="D3" s="3" t="inlineStr">
        <is>
          <t>32'h300</t>
        </is>
      </c>
      <c r="E3" s="3" t="inlineStr">
        <is>
          <t>0x0, ..., 0xffffffff</t>
        </is>
      </c>
      <c r="F3" s="3" t="inlineStr">
        <is>
          <t>0x300</t>
        </is>
      </c>
      <c r="G3" s="3" t="inlineStr">
        <is>
          <t>(DWC_USB3_MODE == 0 || DWC_USB3_MODE == 1 || DWC_USB3_MODE == 2) &amp;&amp; DWC_USB3_MBUS_TYPE!=4</t>
        </is>
      </c>
      <c r="H3" s="3" t="inlineStr">
        <is>
          <t>全局系统总线配置寄存器1(GSBUSCFG1)上电初始值。</t>
        </is>
      </c>
      <c r="I3" s="12" t="inlineStr">
        <is>
          <t>需确认：初始化值合法；应确认 AXI 1KB boundary 与 pipelined burst limit 满足互连限制。</t>
        </is>
      </c>
    </row>
    <row r="4">
      <c r="A4" s="2" t="n">
        <v>3</v>
      </c>
      <c r="B4" s="12" t="inlineStr">
        <is>
          <t>Global Device TXFIFO DMA Priority Register's (GTXFIFOPRIDEV) Power-On Initialization Value (0x0-ffffffff)</t>
        </is>
      </c>
      <c r="C4" s="3" t="inlineStr">
        <is>
          <t>DWC_USB3_GTXFIFOPRIDEV_INIT</t>
        </is>
      </c>
      <c r="D4" s="3" t="inlineStr">
        <is>
          <t>32'h0</t>
        </is>
      </c>
      <c r="E4" s="3" t="inlineStr">
        <is>
          <t>0x0, ..., 0xffffffff</t>
        </is>
      </c>
      <c r="F4" s="3" t="inlineStr">
        <is>
          <t>0x0</t>
        </is>
      </c>
      <c r="G4" s="3" t="inlineStr">
        <is>
          <t>(DWC_USB3_MODE == 0 || DWC_USB3_MODE == 2) &amp;&amp; DWC_USB3_MBUS_TYPE!=4</t>
        </is>
      </c>
      <c r="H4" s="3" t="inlineStr">
        <is>
          <t>全局设备TxFIFO DMA优先级寄存器(GTXFIFOPRIDEV)上电初始值。每个FIFO可分配高/低轮转DMA优先级：先服务高优先级FIFO，再服务低优先级。</t>
        </is>
      </c>
      <c r="I4" s="13" t="inlineStr">
        <is>
          <t>合理：默认低优先级分配；如存在实时设备 IN 流量可按端点调整。</t>
        </is>
      </c>
    </row>
    <row r="5">
      <c r="A5" s="2" t="n">
        <v>4</v>
      </c>
      <c r="B5" s="12" t="inlineStr">
        <is>
          <t>Global Host TXFIFO DMA Priority Register's (GTXFIFOPRIHST) Power-On Initialization Value (0x0-ffffffff)</t>
        </is>
      </c>
      <c r="C5" s="3" t="inlineStr">
        <is>
          <t>DWC_USB3_GTXFIFOPRIHST_INIT</t>
        </is>
      </c>
      <c r="D5" s="3" t="inlineStr">
        <is>
          <t>32'h0</t>
        </is>
      </c>
      <c r="E5" s="3" t="inlineStr">
        <is>
          <t>0x0, ..., 0xffffffff</t>
        </is>
      </c>
      <c r="F5" s="3" t="inlineStr">
        <is>
          <t>0x0</t>
        </is>
      </c>
      <c r="G5" s="3" t="inlineStr">
        <is>
          <t>(DWC_USB3_MODE == 1 || DWC_USB3_MODE == 2) &amp;&amp; DWC_USB3_MBUS_TYPE!=4</t>
        </is>
      </c>
      <c r="H5" s="3" t="inlineStr">
        <is>
          <t>全局主机TxFIFO DMA优先级寄存器(GTXFIFOPRIHST)上电初始值。</t>
        </is>
      </c>
      <c r="I5" s="13" t="inlineStr">
        <is>
          <t>合理：默认低优先级分配；如存在实时 host IN 流量可按端点调整。</t>
        </is>
      </c>
    </row>
    <row r="6">
      <c r="A6" s="2" t="n">
        <v>5</v>
      </c>
      <c r="B6" s="12" t="inlineStr">
        <is>
          <t>Global Host RXFIFO DMA Priority Register's (GRXFIFOPRIHST) Power-On Initialization Value (0x0-ffffffff)</t>
        </is>
      </c>
      <c r="C6" s="3" t="inlineStr">
        <is>
          <t>DWC_USB3_GRXFIFOPRIHST_INIT</t>
        </is>
      </c>
      <c r="D6" s="3" t="inlineStr">
        <is>
          <t>32'h0</t>
        </is>
      </c>
      <c r="E6" s="3" t="inlineStr">
        <is>
          <t>0x0, ..., 0xffffffff</t>
        </is>
      </c>
      <c r="F6" s="3" t="inlineStr">
        <is>
          <t>0x0</t>
        </is>
      </c>
      <c r="G6" s="3" t="inlineStr">
        <is>
          <t>(DWC_USB3_MODE == 1 || DWC_USB3_MODE == 2) &amp;&amp; DWC_USB3_MBUS_TYPE!=4</t>
        </is>
      </c>
      <c r="H6" s="3" t="inlineStr">
        <is>
          <t>全局主机RxFIFO DMA优先级寄存器(GRXFIFOPRIHST)上电初始值。按速度组(SS BI组和HS/FSLS BI组)分配DMA优先级。</t>
        </is>
      </c>
      <c r="I6" s="13" t="inlineStr">
        <is>
          <t>合理：默认低优先级分配；如有不同速度组 QoS 需求可调整。</t>
        </is>
      </c>
    </row>
    <row r="7">
      <c r="A7" s="2" t="n">
        <v>6</v>
      </c>
      <c r="B7" s="12" t="inlineStr">
        <is>
          <t>Global Debug Capability FIFO Priority Register's (GFIFOPRIDBC) Power-On Initialization Value (0x0-ffffffff)</t>
        </is>
      </c>
      <c r="C7" s="3" t="inlineStr">
        <is>
          <t>DWC_USB3_GFIFOPRIDBC_INIT</t>
        </is>
      </c>
      <c r="D7" s="3" t="inlineStr">
        <is>
          <t>32'h0</t>
        </is>
      </c>
      <c r="E7" s="3" t="inlineStr">
        <is>
          <t>0x0, ..., 0xffffffff</t>
        </is>
      </c>
      <c r="F7" s="3" t="inlineStr">
        <is>
          <t>0x0</t>
        </is>
      </c>
      <c r="G7" s="3" t="inlineStr">
        <is>
          <t>(DWC_USB3_MODE == 1 || DWC_USB3_MODE == 2) &amp;&amp; DWC_USB3_MBUS_TYPE!=4 &amp;&amp; DWC_USB3_EN_DBC==1</t>
        </is>
      </c>
      <c r="H7" s="3" t="inlineStr">
        <is>
          <t>全局调试能力FIFO优先级寄存器(GFIFOPRIDBC)上电初始值。</t>
        </is>
      </c>
      <c r="I7" s="14" t="inlineStr">
        <is>
          <t>不适用：DbC 已关闭。</t>
        </is>
      </c>
    </row>
    <row r="8">
      <c r="A8" s="2" t="n">
        <v>7</v>
      </c>
      <c r="B8" s="3" t="inlineStr">
        <is>
          <t>Global Host FIFO DMA High- Low Priority Ratio Register's (GDMAHLRATIO) TX SS:HSFSLS Ratio Power-On Initialization Value (0x0-1f)Specifies the Global Host FIFO DMA High-Low Priority Ratio Register's (GDMAHLRATIO) TX SS:HSFSLS Ratio powe r-on initialization value (bit[4:0]). This register specifies the relative priority of the SS FIFOs vs. the HS+FSLS FIFOs. Specifically, the DMA arbiter prioritizes the HS/FSLS round-robin arbiter group for one packet after the specified number of packet grants to the SS round-robin arbiter group. For more information, see the "GDMAHLRATIO" section in the Databook. If you use a standard driver, such as the xHCI driver from Microsoft, you must initialize this register to meet your sys tem requirements before synthesizing the core. If you are developing your own xHCI host driver, then this register can be configured by your driver.</t>
        </is>
      </c>
      <c r="C8" s="3" t="inlineStr">
        <is>
          <t>DWC_USB3_GDMAHLRATIO_TX_INIT</t>
        </is>
      </c>
      <c r="D8" s="3" t="inlineStr">
        <is>
          <t>8</t>
        </is>
      </c>
      <c r="E8" s="3" t="inlineStr">
        <is>
          <t>0, ..., 31</t>
        </is>
      </c>
      <c r="F8" s="3" t="inlineStr">
        <is>
          <t>DWC_USB3_RX_SS_PRI_CNT</t>
        </is>
      </c>
      <c r="G8" s="12" t="inlineStr">
        <is>
          <t>(DWC_USB3_MODE == 1 || DWC_USB3_MODE == 2) &amp;&amp; DWC_USB3_MBUS_TYPE!=4 &amp;&amp; (D WC_USB3_EN_USB2_ONLY==0)</t>
        </is>
      </c>
      <c r="H8" s="3" t="inlineStr">
        <is>
          <t>全局DMA高/低优先级比率(Tx)上电初始值。</t>
        </is>
      </c>
      <c r="I8" s="13" t="inlineStr">
        <is>
          <t>合理：SS:HS/FSLS 仲裁比为 8，需按混合速率设备的 QoS 目标验证。</t>
        </is>
      </c>
    </row>
    <row r="9">
      <c r="A9" s="2" t="n">
        <v>8</v>
      </c>
      <c r="B9" s="12" t="inlineStr">
        <is>
          <t>Global Host FIFO DMA High-Low Priority Ratio Register's (GDMAHLRATIO) RX SS:HSFSLS Ratio Power-On Initialization Value (0x0-1f)</t>
        </is>
      </c>
      <c r="C9" s="3" t="inlineStr">
        <is>
          <t>DWC_USB3_GDMAHLRATIO_RX_INIT</t>
        </is>
      </c>
      <c r="D9" s="3" t="inlineStr">
        <is>
          <t>8</t>
        </is>
      </c>
      <c r="E9" s="3" t="inlineStr">
        <is>
          <t>0, ..., 31</t>
        </is>
      </c>
      <c r="F9" s="3" t="inlineStr">
        <is>
          <t>DWC_USB3_RX_SS_PRI_CNT</t>
        </is>
      </c>
      <c r="G9" s="12" t="inlineStr">
        <is>
          <t>(DWC_USB3_MODE == 1 || DWC_USB3_MODE == 2) &amp;&amp; DWC_USB3_MBUS_TYPE!=4 &amp;&amp; (D WC_USB3_EN_USB2_ONLY==0)</t>
        </is>
      </c>
      <c r="H9" s="3" t="inlineStr">
        <is>
          <t>全局DMA高/低优先级比率(Rx)上电初始值。</t>
        </is>
      </c>
      <c r="I9" s="13" t="inlineStr">
        <is>
          <t>合理：SS:HS/FSLS 仲裁比为 8，需按混合速率设备的 QoS 目标验证。</t>
        </is>
      </c>
    </row>
    <row r="10">
      <c r="A10" s="2" t="n">
        <v>9</v>
      </c>
      <c r="B10" s="12" t="inlineStr">
        <is>
          <t>Enable LPM Errata Support?</t>
        </is>
      </c>
      <c r="C10" s="3" t="inlineStr">
        <is>
          <t>DWC_USB3_EN_LPM_ERRATA</t>
        </is>
      </c>
      <c r="D10" s="3" t="inlineStr">
        <is>
          <t>1</t>
        </is>
      </c>
      <c r="E10" s="3" t="inlineStr">
        <is>
          <t>LPM Errata Disable (0); LPM Errata Enable (1)</t>
        </is>
      </c>
      <c r="F10" s="3">
        <f> 1</f>
        <v/>
      </c>
      <c r="G10" s="3" t="inlineStr">
        <is>
          <t>DWC_USB3_MODE !=3</t>
        </is>
      </c>
      <c r="H10" s="3" t="inlineStr">
        <is>
          <t>启用LPM勘误支持。主机模式下设置xHCI能力寄存器BESL支持位，根据BESL值改变恢复时长。设备模式下DCTL寄存器新增字段控制对LPM令牌的ACK/NYET响应。</t>
        </is>
      </c>
      <c r="I10" s="13" t="inlineStr">
        <is>
          <t>合理：启用 LPM 勘误支持符合默认建议。</t>
        </is>
      </c>
    </row>
    <row r="11">
      <c r="A11" s="2" t="n">
        <v>10</v>
      </c>
      <c r="B11" s="12" t="inlineStr">
        <is>
          <t>Support Device/DbC Scatter-Gather Packets of 8 to 15 TRBs?</t>
        </is>
      </c>
      <c r="C11" s="3" t="inlineStr">
        <is>
          <t>DWC_USB3_DEV_EN_SCATTER_PACKETS_OF_8_TO_15_TRBS</t>
        </is>
      </c>
      <c r="D11" s="3" t="inlineStr">
        <is>
          <t>1</t>
        </is>
      </c>
      <c r="E11" s="12" t="inlineStr">
        <is>
          <t>No (0); Yes (1)</t>
        </is>
      </c>
      <c r="F11" s="3" t="inlineStr">
        <is>
          <t>(DWC_USB3_EN_DBC==1) ? 1: 0</t>
        </is>
      </c>
      <c r="G11" s="3" t="inlineStr">
        <is>
          <t>(DWC_USB3_EN_DBC==1) || ((DWC_USB3_MODE==0 || DWC_USB3_MODE==2) &amp;&amp; DWC_USB3_MBUS_TYPE!=4 &amp;&amp; DWC_USB3_CACHE_TRBS_PER_TRANSFER &gt; (7 + (DWC_USB3_MDWIDTH==128)))</t>
        </is>
      </c>
      <c r="H11" s="3" t="inlineStr">
        <is>
          <t>启用由8~15个TRB组成的分散聚合包(若MDWIDTH==128则9~15个TRB)。推荐启用(未来版本将移除仅支持7个TRB的选项)。影响RXQ和TXQ FIFO深度。</t>
        </is>
      </c>
      <c r="I11" s="13" t="inlineStr">
        <is>
          <t>合理：已启用，符合 databook 建议；需确保 RXQ/TXQ FIFO 深度已按此特性计算。</t>
        </is>
      </c>
    </row>
    <row r="12">
      <c r="A12" s="2" t="n">
        <v>11</v>
      </c>
      <c r="B12" s="3" t="inlineStr">
        <is>
          <t>Information - Device minimum ram_clk frequency (MHz) for full performance</t>
        </is>
      </c>
      <c r="C12" s="3" t="inlineStr">
        <is>
          <t>DWC_USB3_DEV_RAM_CLK_FREQ_PERF</t>
        </is>
      </c>
      <c r="D12" s="3" t="inlineStr">
        <is>
          <t>125</t>
        </is>
      </c>
      <c r="E12" s="3" t="inlineStr">
        <is>
          <t>-2147483648, ..., 2147483647</t>
        </is>
      </c>
      <c r="F12" s="12" t="inlineStr">
        <is>
          <t>(DWC_USB3_DEV_RAM_CLK_FREQ_T URNAROUND&gt;((DWC_USB3_LSP_SHA RED_RAM_FREQ_PERF+DWC_USB3_DEV_CLK_FREQ_RXDATA)+(((DWC_USB3_SPRAM_TYP==1)&amp;&amp;(DWC_USB3_E N_USB2_ONLY==0))?DWC_USB3_DEV _CLK_FREQ_RXDATA:0)))?DWC_U SB3_DEV_RAM_CLK_FREQ_TURNAROUN D:((DWC_USB3_LSP_SHARED_RAM_F REQ_PERF+DWC_USB3_DEV_CLK_FR EQ_RXDATA)+(((DWC_USB3_SPRAM_T YP==1)&amp;&amp;(DWC_USB3_EN_USB2_ONLYY==0))?DWC_USB3_DEV_CLK_FREQ_RXDATA:0))</t>
        </is>
      </c>
      <c r="G12" s="3" t="inlineStr">
        <is>
          <t>0</t>
        </is>
      </c>
      <c r="H12" s="3" t="inlineStr">
        <is>
          <t>只读信息性参数，定义设备模式达到全带宽所需的最小ram_clk频率。取决于SS/HS模式、MDWIDTH、RAM数量和RAM类型。</t>
        </is>
      </c>
      <c r="I12" s="13" t="inlineStr">
        <is>
          <t>信息项：RTL 派生的设备模式满性能最低 ram_clk 为 125 MHz，实际时钟应不低于该值。</t>
        </is>
      </c>
    </row>
    <row r="13">
      <c r="A13" s="2" t="n">
        <v>12</v>
      </c>
      <c r="B13" s="12" t="inlineStr">
        <is>
          <t>Information - Device minimum ram_clk frequency (MHz) for functional operation</t>
        </is>
      </c>
      <c r="C13" s="3" t="inlineStr">
        <is>
          <t>DWC_USB3_DEV_RAM_CLK_FREQ_FUNC</t>
        </is>
      </c>
      <c r="D13" s="3" t="inlineStr">
        <is>
          <t>125</t>
        </is>
      </c>
      <c r="E13" s="3" t="inlineStr">
        <is>
          <t>-2147483648, ..., 2147483647</t>
        </is>
      </c>
      <c r="F13" s="3" t="inlineStr">
        <is>
          <t>(DWC_USB3_DEV_RAM_CLK_FREQ_TURNAROUND&gt;(DWC_USB3_LSP_SHARED_RAM_FREQ_FUNC+DWC_USB3_DEV_ CLK_FREQ_RXDATA))?DWC_USB 3_DEV_RAM_CLK_FREQ_TURNAROUND:(DWC_USB3_LSP_SHARED_RAM_FREQ_FUNC+DWC_USB3_DEV_CLK_FREQ_RXDATA)</t>
        </is>
      </c>
      <c r="G13" s="3" t="inlineStr">
        <is>
          <t>0</t>
        </is>
      </c>
      <c r="H13" s="3" t="inlineStr">
        <is>
          <t>只读信息性参数，定义设备模式功能运行所需的最小ram_clk频率。</t>
        </is>
      </c>
      <c r="I13" s="13" t="inlineStr">
        <is>
          <t>信息项：RTL 派生的设备模式功能最低 ram_clk 为 125 MHz，实际时钟应不低于该值。</t>
        </is>
      </c>
    </row>
    <row r="14">
      <c r="A14" s="2" t="n">
        <v>13</v>
      </c>
      <c r="B14" s="3" t="n"/>
      <c r="C14" s="3" t="inlineStr">
        <is>
          <t>DWC_USB3_HOST_RAM_CLK_FREQ_PERF</t>
        </is>
      </c>
      <c r="D14" s="3" t="inlineStr">
        <is>
          <t>157</t>
        </is>
      </c>
      <c r="E14" s="3" t="inlineStr">
        <is>
          <t>-2147483648, ..., 2147483647</t>
        </is>
      </c>
      <c r="F14" s="12" t="inlineStr">
        <is>
          <t>(DWC_USB3_HOST_RAM_CLK_FREQ_F IFOLATENCY&gt;((((DWC_USB3_LSP_S HARED_RAM_FREQ_PERF+DWC_USB3_HOST_CLK_FREQ_RXDATA)+(((DWC_USB3_SPRAM_TYP==1)&amp;&amp;(DWC_USB 3_EN_USB2_ONLY==0))?DWC_USB3_ HOST_CLK_FREQ_RXDATA:0))&gt;(DWC_ USB3_HOST_RAM_CLK_FREQ_TXDAT A+(((DWC_USB3_SPRAM_TYP==1)&amp;&amp;(DW C_USB3_EN_USB2_ONLY==0))?DW C_USB3_HOST_CLK_FREQ_RXDATA:0 )))?((DWC_USB3_LSP_SHARED_RAM_ FREQ_PERF+DWC_USB3_HOST_CLK_FR EQ_RXDATA)+(((DWC_USB3_SPRA M_TYP==1)&amp;&amp;(DWC_USB3_EN_USB2_O NLY==0))?DWC_USB3_HOST_CLK_F REQ_RXDATA:0)):(DWC_USB3_HOST_ RAM_CLK_FREQ_TXDATA+(((DWC_USB 3_SPRAM_TYP==1)&amp;&amp;(DWC_USB3_EN_ USB2_ONLY==0))?DWC_USB3_HOST _CLK_FREQ_RXDATA:0))))?DWC_USB3 _HOST_RAM_CLK_FREQ_FIFOLATEN CY:((((DWC_USB3_LSP_SHARED_RAM _FREQ_PERF+DWC_USB3_HOST_CL K_FREQ_RXDATA)+(((DWC_USB3_SPR AM_TYP==1)&amp;&amp;(DWC_USB3_EN_USB2 _ONLY==0))?DWC_USB3_H OST_CLK_FREQ_RXDATA:0))&gt;(DWC_USB3_HOST _RAM_CLK_FREQ_TXDATA+(((DWC_USB3_SPRAM_TYP==1)&amp;&amp;(DWC_USB3_EN_USB2_ONLYY==0))?DWC_USB3_HOST _CLK_FREQ_RXDATA:0)))?((DWC_U SB3_LSP_SHARED_RAM_FREQ_PERF+DWC_USB3_HOST_CLK_FREQ_RXDATA)+(((DWC_USB3_SPRAM_TYP==1) &amp;&amp;(DWC_USB3_EN_USB2_ONLYY==0))? DWC_USB3_HOST_CLK_FREQ_RXDATA: 0)):(DWC_USB3_HOST_RAM_CLK_F REQ_TXDATA+(((DWC_USB3_SPRAM_T YP==1)&amp;&amp;(DWC_USB3_EN_USB2_ON L Y==0))?DWC_USB3_HOST_ CLK_FREQ_RXDATA:0)))</t>
        </is>
      </c>
      <c r="G14" s="3" t="inlineStr">
        <is>
          <t>0</t>
        </is>
      </c>
      <c r="H14" s="3" t="inlineStr">
        <is>
          <t>只读信息性参数，定义主机模式达到全带宽所需的最小ram_clk频率。</t>
        </is>
      </c>
      <c r="I14" s="13" t="inlineStr">
        <is>
          <t>信息项：RTL 派生的主机模式满性能最低 ram_clk 为 157 MHz，实际时钟应不低于该值。</t>
        </is>
      </c>
    </row>
    <row r="15">
      <c r="A15" s="2" t="n">
        <v>14</v>
      </c>
      <c r="B15" s="12" t="inlineStr">
        <is>
          <t>Information - Host minimum ram_clk frequency (MHz) for functional operation</t>
        </is>
      </c>
      <c r="C15" s="3" t="inlineStr">
        <is>
          <t>DWC_USB3_HOST_RAM_CLK_FREQ_FUNC</t>
        </is>
      </c>
      <c r="D15" s="3" t="inlineStr">
        <is>
          <t>157</t>
        </is>
      </c>
      <c r="E15" s="3" t="inlineStr">
        <is>
          <t>-2147483648, ..., 2147483647</t>
        </is>
      </c>
      <c r="F15" s="3" t="inlineStr">
        <is>
          <t>(DWC_USB3_HOST_RAM_CLK_FREQ_F IFOLATENCY&gt;(((DWC_USB3_LSP_SH ARED_RAM_FREQ_FUNC+DWC_USB3_HOST_CLK_FREQ_RXDATA)&gt;DWC_USB3_HOST_RAM_CLK_FREQ_TXDATA) ?(DWC_USB3_LSP_SHARED_RAM_FR EQ_FUNC+DWC_USB3_HOST_CLK_FREQ _RXDATA):DWC_USB3_HOST_RAM _CLK_FREQ_TXDATA))?DWC_USB3_HOST_RAM_CLK_FREQ_FIFOLATENCY:(((DWC_USB3_LSP_SHARED_RAM_FREQ_FUNC+DWC_USB3_HOST_CLK_FREQ_RXDATA)&gt;DWC_USB3_HOST_RAM_ CLK_FREQ_TXDATA)?(DWC_USB3_L SP_SHARED_RAM_FREQ_FUNC+DWC_USB3_HOST_CLK_FREQ_RXDATA):DWC_USB3_HOST_RAM_CLK_FREQ_TXDATA)</t>
        </is>
      </c>
      <c r="G15" s="3" t="inlineStr">
        <is>
          <t>DWC_USB3_MODE==1 || DWC_USB3_MODE==2</t>
        </is>
      </c>
      <c r="H15" s="3" t="inlineStr">
        <is>
          <t>只读信息性参数，定义主机模式功能运行所需的最小ram_clk频率。</t>
        </is>
      </c>
      <c r="I15" s="13" t="inlineStr">
        <is>
          <t>信息项：RTL 派生的主机模式功能最低 ram_clk 为 157 MHz，实际时钟应不低于该值。</t>
        </is>
      </c>
    </row>
    <row r="16">
      <c r="A16" s="2" t="n">
        <v>15</v>
      </c>
      <c r="B16" s="3" t="inlineStr">
        <is>
          <t>Information - Default Device RAM0 Cache Depth</t>
        </is>
      </c>
      <c r="C16" s="3" t="inlineStr">
        <is>
          <t>DWC_USB3_DCACHE_DEPTH_DEV</t>
        </is>
      </c>
      <c r="D16" s="3" t="inlineStr">
        <is>
          <t>2256</t>
        </is>
      </c>
      <c r="E16" s="3" t="inlineStr">
        <is>
          <t>32, ..., 65536</t>
        </is>
      </c>
      <c r="F16" s="3" t="inlineStr">
        <is>
          <t>(((DWC_USB3_ADDR_CACHE_STREAM S+DWC_USB3_CACHE_STREAMS_DE PTH)+DWC_USB3_MBYTES)-1)&gt;&gt;DWC_USB3_MADDR_LO</t>
        </is>
      </c>
      <c r="G16" s="3" t="inlineStr">
        <is>
          <t>0</t>
        </is>
      </c>
      <c r="H16" s="3" t="inlineStr">
        <is>
          <t>只读信息性参数，定义设备模式最小缓存深度需求。</t>
        </is>
      </c>
      <c r="I16" s="13" t="inlineStr">
        <is>
          <t>信息项：设备 cache 深度为 RTL 派生值，与当前配置一致。</t>
        </is>
      </c>
    </row>
    <row r="17">
      <c r="A17" s="2" t="n">
        <v>16</v>
      </c>
      <c r="B17" s="3" t="inlineStr">
        <is>
          <t>Information - Default Host RAM0 Cache Depth</t>
        </is>
      </c>
      <c r="C17" s="3" t="inlineStr">
        <is>
          <t>DWC_USB3_DCACHE_DEPTH_HST</t>
        </is>
      </c>
      <c r="D17" s="3" t="inlineStr">
        <is>
          <t>3584</t>
        </is>
      </c>
      <c r="E17" s="3" t="inlineStr">
        <is>
          <t>32, ..., 65536</t>
        </is>
      </c>
      <c r="F17" s="3" t="inlineStr">
        <is>
          <t>(((DWC_USB3_DBCACHE_ADDR+(DWC _USB3_EN_DBC?DWC_USB3_DBCAC HE_SIZE:0))+DWC_USB3_MBYTES)-1)&gt;&gt;DWC_USB3_MADDR_LO</t>
        </is>
      </c>
      <c r="G17" s="3" t="inlineStr">
        <is>
          <t>0</t>
        </is>
      </c>
      <c r="H17" s="3" t="inlineStr">
        <is>
          <t>只读信息性参数，定义主机模式最小缓存深度需求。</t>
        </is>
      </c>
      <c r="I17" s="13" t="inlineStr">
        <is>
          <t>信息项：主机 cache 深度为 RTL 派生值，与当前配置一致。</t>
        </is>
      </c>
    </row>
    <row r="18">
      <c r="A18" s="2" t="n">
        <v>17</v>
      </c>
      <c r="B18" s="12" t="inlineStr">
        <is>
          <t>Information - Cache Depth</t>
        </is>
      </c>
      <c r="C18" s="3" t="inlineStr">
        <is>
          <t>DWC_USB3_DCACHE_DEPTH_INFO</t>
        </is>
      </c>
      <c r="D18" s="3" t="inlineStr">
        <is>
          <t>3584</t>
        </is>
      </c>
      <c r="E18" s="3" t="inlineStr">
        <is>
          <t>32, ..., (262144 / (DWC_USB3_MDWIDTH / 8))</t>
        </is>
      </c>
      <c r="F18" s="3" t="inlineStr">
        <is>
          <t>DWC_USB3_DCACHE_DEPTH</t>
        </is>
      </c>
      <c r="G18" s="3" t="inlineStr">
        <is>
          <t>0</t>
        </is>
      </c>
      <c r="H18" s="3" t="inlineStr">
        <is>
          <t>只读信息性参数，定义缓存深度信息。</t>
        </is>
      </c>
      <c r="I18" s="13" t="inlineStr">
        <is>
          <t>信息项：当前生效 cache 深度为 RTL 派生值。</t>
        </is>
      </c>
    </row>
    <row r="19">
      <c r="A19" s="2" t="n">
        <v>18</v>
      </c>
      <c r="B19" s="3" t="inlineStr">
        <is>
          <t>Information - Default Device RAM0/RAM1 TxFIFO Depth</t>
        </is>
      </c>
      <c r="C19" s="3" t="inlineStr">
        <is>
          <t>DWC_USB3_DEV_TXF_ALL_DEPTH</t>
        </is>
      </c>
      <c r="D19" s="3" t="inlineStr">
        <is>
          <t>4249</t>
        </is>
      </c>
      <c r="E19" s="3" t="inlineStr">
        <is>
          <t>32, ..., 65536</t>
        </is>
      </c>
      <c r="F19" s="3" t="inlineStr">
        <is>
          <t>((((((((((((((DWC_USB3_DEV_TXF0_D EPTH+DWC_USB3_DEV_TXF1_DEPTH)+ DWC_USB3_DEV_TXF2_DEPTH)+DWC_USB3_DEV_TXF3_DEPTH)+DWC_USB3_DEV_TXF4_DEPTH)+DWC_USB3_D EV_TXF5_DEPTH)+DWC_USB3_DEV_ TXF6_DEPTH)+DWC_USB3_DEV_TXF7_DEPTH)+DWC_USB3_DEV_TXF8_DEPTH)+DWC_USB3_DEV_TXF9_DEPTH) +DWC_USB3_DEV_TXF10_DEPTH)+D WC_USB3_DEV_TXF11_DEPTH)+DWC_USB3_DEV_TXF12_DEPTH)+DWC_USB3_DEV_TXF13_DEPTH)+DWC_USB3_DEV_TXF14_DEPTH)+DWC_USB3_DEV_TXF15_DEPTH</t>
        </is>
      </c>
      <c r="G19" s="3" t="inlineStr">
        <is>
          <t>0</t>
        </is>
      </c>
      <c r="H19" s="3" t="inlineStr">
        <is>
          <t>只读信息性参数，定义设备模式最小TxFIFO总深度需求。</t>
        </is>
      </c>
      <c r="I19" s="13" t="inlineStr">
        <is>
          <t>信息项：设备 TxFIFO 总深度为 RTL 派生值，与当前端点配置一致。</t>
        </is>
      </c>
    </row>
    <row r="20">
      <c r="A20" s="2" t="n">
        <v>19</v>
      </c>
      <c r="B20" s="3" t="inlineStr">
        <is>
          <t>Information - Default Host RAM0/RAM1 TxFIFO Depth</t>
        </is>
      </c>
      <c r="C20" s="3" t="inlineStr">
        <is>
          <t>DWC_USB3_HOST_TXF_ALL_DEPTH</t>
        </is>
      </c>
      <c r="D20" s="3" t="inlineStr">
        <is>
          <t>1802</t>
        </is>
      </c>
      <c r="E20" s="3" t="inlineStr">
        <is>
          <t>32, ..., 65536</t>
        </is>
      </c>
      <c r="F20" s="3" t="inlineStr">
        <is>
          <t>((((DWC_USB3_NUM_FSLS_USB_INSTA NCES*DWC_USB3_HOST_TXFIFO_DE PTH_PER_FSLS_INSTANCE)+(DWC_U SB3_NUM_HS_USB_INSTANCES*DWC_ USB3_HOST_TXFIFO_DEPTH_PER_HS_ INSTANCE))+(DWC_USB3_NUM_SS_ USB_INSTANCES_ACTIVE*DWC_USB3_HOST_TXFIFO_DEPTH_PER_SS_INSTANCE))+(DWC_USB3_EN_DBC_SRCSNK*DWC_USB3_DBC_EP1_TXF_DEPTH))+(DWC_USB3_EN_DBC*DWC_USB3_DBC_EP0_TXF_DEPTH)</t>
        </is>
      </c>
      <c r="G20" s="3" t="inlineStr">
        <is>
          <t>0</t>
        </is>
      </c>
      <c r="H20" s="3" t="inlineStr">
        <is>
          <t>只读信息性参数，定义主机模式最小TxFIFO总深度需求。</t>
        </is>
      </c>
      <c r="I20" s="13" t="inlineStr">
        <is>
          <t>信息项：主机 TxFIFO 总深度为 RTL 派生值，与当前 root port 配置一致。</t>
        </is>
      </c>
    </row>
    <row r="21">
      <c r="A21" s="2" t="n">
        <v>20</v>
      </c>
      <c r="B21" s="12" t="inlineStr">
        <is>
          <t>Information - Default Device/Host/DRD RAM0/RAM1 TxFIFO Depth</t>
        </is>
      </c>
      <c r="C21" s="3" t="inlineStr">
        <is>
          <t>DWC_USB3_TXF_ALL_DEPTH</t>
        </is>
      </c>
      <c r="D21" s="3" t="inlineStr">
        <is>
          <t>4249</t>
        </is>
      </c>
      <c r="E21" s="3" t="inlineStr">
        <is>
          <t>32, ..., 65536</t>
        </is>
      </c>
      <c r="F21" s="3" t="inlineStr">
        <is>
          <t>(DWC_USB3_MODE==0)?DWC_USB3_DEV_TXF_ALL_DEPTH:((DWC_USB3_MODE==1)?DWC_USB3_HOS T_TXF_ALL_DEPTH:((DW C_USB3_DEV_TXF_ALL_ DEPTH&gt;DWC_USB3_HOST_TXF_ALL_DEPTH)?DWC_USB3_DEV_TXF_ALL_DEPTH:DWC_USB3_HOST_TXF_ALL_DEPTH))</t>
        </is>
      </c>
      <c r="G21" s="3" t="inlineStr">
        <is>
          <t>0</t>
        </is>
      </c>
      <c r="H21" s="3" t="inlineStr">
        <is>
          <t>只读信息性参数，定义设备/主机/DRD模式最小TxFIFO总深度需求。DRD模式取两者较大值。</t>
        </is>
      </c>
      <c r="I21" s="13" t="inlineStr">
        <is>
          <t>信息项：DRD 下取设备/主机所需较大值，RTL 派生结果一致。</t>
        </is>
      </c>
    </row>
    <row r="22">
      <c r="A22" s="2" t="n">
        <v>21</v>
      </c>
      <c r="B22" s="3" t="inlineStr">
        <is>
          <t>Information - Default Device RAM0/RAM2 RxFIFO Depth</t>
        </is>
      </c>
      <c r="C22" s="3" t="inlineStr">
        <is>
          <t>DWC_USB3_DEV_RXF_DEPTH_DEFAULT</t>
        </is>
      </c>
      <c r="D22" s="3" t="inlineStr">
        <is>
          <t>778</t>
        </is>
      </c>
      <c r="E22" s="3" t="inlineStr">
        <is>
          <t>32, ..., 65536</t>
        </is>
      </c>
      <c r="F22" s="3" t="inlineStr">
        <is>
          <t>DWC_USB3_DEV_RXF_DEPTH</t>
        </is>
      </c>
      <c r="G22" s="3" t="inlineStr">
        <is>
          <t>0</t>
        </is>
      </c>
      <c r="H22" s="3" t="inlineStr">
        <is>
          <t>只读信息性参数，定义设备模式最小RxFIFO深度需求。</t>
        </is>
      </c>
      <c r="I22" s="13" t="inlineStr">
        <is>
          <t>信息项：设备 RxFIFO 默认深度为 RTL 派生值。</t>
        </is>
      </c>
    </row>
    <row r="23">
      <c r="A23" s="2" t="n">
        <v>22</v>
      </c>
      <c r="B23" s="3" t="inlineStr">
        <is>
          <t>Information - Default Host RAM0/RAM2 RxFIFO Depth</t>
        </is>
      </c>
      <c r="C23" s="3" t="inlineStr">
        <is>
          <t>DWC_USB3_HOST_RXF_ALL_DEPTH</t>
        </is>
      </c>
      <c r="D23" s="3" t="inlineStr">
        <is>
          <t>1552</t>
        </is>
      </c>
      <c r="E23" s="3" t="inlineStr">
        <is>
          <t>32, ..., 65536</t>
        </is>
      </c>
      <c r="F23" s="3" t="inlineStr">
        <is>
          <t>(((DWC_USB3_NUM_FSLS_ USB_INSTANCES*DWC_USB3_HOST_RXFIFO_DE PTH_PER_FSLS_INSTANCE)+(DWC_U SB3_NUM_HS_USB_INSTANCES*DWC_ USB3_HOST_RXFIFO_DEPTH_PER_HS_ INSTANCE))+(DWC_USB3_NUM_SS_ USB_INSTANCES_ACTIVE*DWC_USB 3_HOST_RXFIFO_DEPTH_PER_SS_INS TANCE))+(DWC_USB3_EN_DBC_SRCSNK*DWC_USB3_DBC_RXF_DEPTH)</t>
        </is>
      </c>
      <c r="G23" s="3" t="inlineStr">
        <is>
          <t>0</t>
        </is>
      </c>
      <c r="H23" s="3" t="inlineStr">
        <is>
          <t>只读信息性参数，定义主机模式最小RxFIFO总深度需求。</t>
        </is>
      </c>
      <c r="I23" s="13" t="inlineStr">
        <is>
          <t>信息项：主机 RxFIFO 总深度为 RTL 派生值。</t>
        </is>
      </c>
    </row>
    <row r="24">
      <c r="A24" s="2" t="n">
        <v>23</v>
      </c>
      <c r="B24" s="3" t="inlineStr">
        <is>
          <t>Default Information - Device/Host/DRD RAM0/RAM2 RxFIFO Depth</t>
        </is>
      </c>
      <c r="C24" s="3" t="inlineStr">
        <is>
          <t>DWC_USB3_RXF_ALL_DEPTH</t>
        </is>
      </c>
      <c r="D24" s="3" t="inlineStr">
        <is>
          <t>1552</t>
        </is>
      </c>
      <c r="E24" s="3" t="inlineStr">
        <is>
          <t>32, ..., 65536</t>
        </is>
      </c>
      <c r="F24" s="3" t="inlineStr">
        <is>
          <t>(DWC_USB3_MODE==0)?DWC_USB3_D EV_RXF_DEPTH:((DWC_USB3_MODE ==1)?DWC_USB3_HOST_RXF_ALL_D EPTH:((DWC_USB3_DEV_RXF_DEPTH&gt; DWC_USB3_HOST_RXF_ALL_DEPTH) ?DWC_USB3_DEV_RXF_DEPTH:DWC_ USB3_HOST_RXF_ALL_DEPTH))</t>
        </is>
      </c>
      <c r="G24" s="3" t="inlineStr">
        <is>
          <t>0</t>
        </is>
      </c>
      <c r="H24" s="3" t="inlineStr">
        <is>
          <t>只读信息性参数，定义设备/主机/DRD模式最小RxFIFO总深度需求。DRD模式取两者较大值。</t>
        </is>
      </c>
      <c r="I24" s="13" t="inlineStr">
        <is>
          <t>信息项：DRD RxFIFO 深度取设备/主机所需较大值，RTL 派生结果一致。</t>
        </is>
      </c>
    </row>
    <row r="25">
      <c r="A25" s="2" t="n">
        <v>24</v>
      </c>
      <c r="B25" s="12" t="inlineStr">
        <is>
          <t>RAM0 Depth</t>
        </is>
      </c>
      <c r="C25" s="3" t="inlineStr">
        <is>
          <t>DWC_USB3_RAM0_DEPTH</t>
        </is>
      </c>
      <c r="D25" s="3" t="inlineStr">
        <is>
          <t>3584</t>
        </is>
      </c>
      <c r="E25" s="3" t="inlineStr">
        <is>
          <t>32, ..., 65536</t>
        </is>
      </c>
      <c r="F25" s="3" t="inlineStr">
        <is>
          <t>DWC_USB3_RAM0_DEPTH_DEFAULT</t>
        </is>
      </c>
      <c r="G25" s="3" t="inlineStr">
        <is>
          <t>Always</t>
        </is>
      </c>
      <c r="H25" s="3" t="inlineStr">
        <is>
          <t>RAM0深度。系统延迟较大时选择更大FIFO大小。Hub配置下RAM0包含Hub描述符和上行Tx数据包。包含包空间及状态信息、时钟域同步开销字节。</t>
        </is>
      </c>
      <c r="I25" s="13" t="inlineStr">
        <is>
          <t>合理：RAM0 深度等于当前派生 cache 深度；需确保外部 RAM 容量与时序满足要求。</t>
        </is>
      </c>
    </row>
    <row r="26">
      <c r="A26" s="2" t="n">
        <v>25</v>
      </c>
      <c r="B26" s="12" t="inlineStr">
        <is>
          <t>RAM1 Depth</t>
        </is>
      </c>
      <c r="C26" s="3" t="inlineStr">
        <is>
          <t>DWC_USB3_RAM1_DEPTH</t>
        </is>
      </c>
      <c r="D26" s="3" t="inlineStr">
        <is>
          <t>4249</t>
        </is>
      </c>
      <c r="E26" s="3" t="inlineStr">
        <is>
          <t>0, ..., 65536</t>
        </is>
      </c>
      <c r="F26" s="3" t="inlineStr">
        <is>
          <t>DWC_USB3_RAM1_DEPTH_DEFAULT</t>
        </is>
      </c>
      <c r="G26" s="3" t="inlineStr">
        <is>
          <t>DWC_USB3_NUM_RAMS &gt; 1</t>
        </is>
      </c>
      <c r="H26" s="3" t="inlineStr">
        <is>
          <t>RAM1深度。设备模式下为所有IN端点TxFIFO总和。Hub配置下RAM1包含上行Rx数据包。系统延迟较大时选择更大FIFO大小。</t>
        </is>
      </c>
      <c r="I26" s="13" t="inlineStr">
        <is>
          <t>合理：RAM1 深度等于当前 DRD 所需 TxFIFO 总深度；需确保外部 RAM 容量与时序满足要求。</t>
        </is>
      </c>
    </row>
    <row r="27">
      <c r="A27" s="2" t="n">
        <v>26</v>
      </c>
      <c r="B27" s="12" t="inlineStr">
        <is>
          <t>RAM2 Depth</t>
        </is>
      </c>
      <c r="C27" s="3" t="inlineStr">
        <is>
          <t>DWC_USB3_RAM2_DEPTH</t>
        </is>
      </c>
      <c r="D27" s="3" t="inlineStr">
        <is>
          <t>1552</t>
        </is>
      </c>
      <c r="E27" s="3" t="inlineStr">
        <is>
          <t>0, ..., 65536</t>
        </is>
      </c>
      <c r="F27" s="3" t="inlineStr">
        <is>
          <t>DWC_USB3_RAM2_DEPTH_DEFAULT</t>
        </is>
      </c>
      <c r="G27" s="3" t="inlineStr">
        <is>
          <t>DWC_USB3_NUM_RAMS &gt; 2 &amp;&amp; DWC_USB3_MODE !=3</t>
        </is>
      </c>
      <c r="H27" s="3" t="inlineStr">
        <is>
          <t>RAM2深度。主机模式下为SS/HS/FS-LS Rx数据缓冲总和。系统延迟较大时选择更大FIFO大小。</t>
        </is>
      </c>
      <c r="I27" s="13" t="inlineStr">
        <is>
          <t>合理：RAM2 深度等于当前 DRD 所需 RxFIFO 总深度；需确保外部 RAM 容量与时序满足要求。</t>
        </is>
      </c>
    </row>
    <row r="28">
      <c r="A28" s="2" t="n">
        <v>27</v>
      </c>
      <c r="B28" s="3" t="inlineStr">
        <is>
          <t>Preserve logic_analyzer_trace mux select during reset for hardware debug</t>
        </is>
      </c>
      <c r="C28" s="3" t="inlineStr">
        <is>
          <t>DWC_USB3_PRESERVE_LOGIC_ANALYZER_SELECT</t>
        </is>
      </c>
      <c r="D28" s="3" t="inlineStr">
        <is>
          <t>1</t>
        </is>
      </c>
      <c r="E28" s="12" t="inlineStr">
        <is>
          <t>No (0); Yes (1)</t>
        </is>
      </c>
      <c r="F28" s="3" t="inlineStr">
        <is>
          <t>No</t>
        </is>
      </c>
      <c r="G28" s="3" t="inlineStr">
        <is>
          <t>DWC_USB3_MODE !=3</t>
        </is>
      </c>
      <c r="H28" s="3" t="inlineStr">
        <is>
          <t>使能后断开GDBGLSPMUX寄存器的复位信号，使逻辑分析仪跟踪复用器选择在复位期间保持值。用于跨休眠复位的调试信号分析。</t>
        </is>
      </c>
      <c r="I28" s="12" t="inlineStr">
        <is>
          <t>需确认：启用有利于跨复位调试，但会保持 debug mux 选择；量产环境确认不影响复位预期。</t>
        </is>
      </c>
    </row>
    <row r="29">
      <c r="A29" s="2" t="n">
        <v>28</v>
      </c>
      <c r="B29" s="12" t="inlineStr">
        <is>
          <t>Enable FPGA Implementation Optimization?</t>
        </is>
      </c>
      <c r="C29" s="3" t="inlineStr">
        <is>
          <t>DWC_USB3_EN_FPGA</t>
        </is>
      </c>
      <c r="D29" s="3" t="inlineStr">
        <is>
          <t>0</t>
        </is>
      </c>
      <c r="E29" s="12" t="inlineStr">
        <is>
          <t>No (0); Yes (1)</t>
        </is>
      </c>
      <c r="F29" s="3" t="inlineStr">
        <is>
          <t>No</t>
        </is>
      </c>
      <c r="G29" s="3" t="inlineStr">
        <is>
          <t>DWC_USB3_MODE !=3</t>
        </is>
      </c>
      <c r="H29" s="3" t="inlineStr">
        <is>
          <t>启用FPGA实现优化。Synopsys用于FPGA设备/主机硬件验证。ASIC不建议启用。通过增加流水线寄存器改善FPGA时序，但缓存/Rx/Tx内存访问增加1时钟延迟。</t>
        </is>
      </c>
      <c r="I29" s="13" t="inlineStr">
        <is>
          <t>合理：ASIC RTL 配置下关闭 FPGA 专用流水线优化。</t>
        </is>
      </c>
    </row>
    <row r="30">
      <c r="A30" s="2" t="n">
        <v>29</v>
      </c>
      <c r="B30" s="12" t="inlineStr">
        <is>
          <t>Enable Logical-to-Physical Endpoint Mapping Support?</t>
        </is>
      </c>
      <c r="C30" s="3" t="inlineStr">
        <is>
          <t>DWC_USB3_EN_LOG_PHYS_EP_SUPT</t>
        </is>
      </c>
      <c r="D30" s="3" t="inlineStr">
        <is>
          <t>1</t>
        </is>
      </c>
      <c r="E30" s="12" t="inlineStr">
        <is>
          <t>No (0); Yes (1)</t>
        </is>
      </c>
      <c r="F30" s="12" t="inlineStr">
        <is>
          <t>Yes</t>
        </is>
      </c>
      <c r="G30" s="3" t="inlineStr">
        <is>
          <t>DWC_USB3_MODE != 1 &amp;&amp; DWC_USB3_MODE !=3 &amp;&amp; DWC_USB3_MBUS_TYPE!=4</t>
        </is>
      </c>
      <c r="H30" s="3" t="inlineStr">
        <is>
          <t>启用逻辑端点到物理端点灵活映射。Synopsys用于FPGA验证，ASIC不建议启用。禁用时映射固定(减少约5K门)，启用时软件可灵活配置。</t>
        </is>
      </c>
      <c r="I30" s="12" t="inlineStr">
        <is>
          <t>需确认：启用提供逻辑/物理端点灵活映射，但增加约 5K gates；若映射固定可关闭以节省面积。</t>
        </is>
      </c>
    </row>
    <row r="31">
      <c r="A31" s="2" t="n">
        <v>30</v>
      </c>
      <c r="B31" s="12" t="inlineStr">
        <is>
          <t>Enable At-Speed DFT?</t>
        </is>
      </c>
      <c r="C31" s="3" t="inlineStr">
        <is>
          <t>DWC_USB3_ATSPEED_DFT</t>
        </is>
      </c>
      <c r="D31" s="3" t="inlineStr">
        <is>
          <t>0</t>
        </is>
      </c>
      <c r="E31" s="12" t="inlineStr">
        <is>
          <t>No (0); Yes (1)</t>
        </is>
      </c>
      <c r="F31" s="3" t="inlineStr">
        <is>
          <t>No</t>
        </is>
      </c>
      <c r="G31" s="3" t="inlineStr">
        <is>
          <t>DWC_USB3_MODE !=3 &amp;&amp; DWC_USB3_MBUS_TYPE!=4</t>
        </is>
      </c>
      <c r="H31" s="3" t="inlineStr">
        <is>
          <t>启用额外的DFT(可测试性设计)控制端口。添加额外dft_*端口控制时钟。不论此参数是否启用，DWC_usb3核心默认支持At-Speed DFT。</t>
        </is>
      </c>
      <c r="I31" s="13" t="inlineStr">
        <is>
          <t>合理：未需要附加 At-Speed DFT 控制端口时关闭。</t>
        </is>
      </c>
    </row>
    <row r="32">
      <c r="A32" s="2" t="n">
        <v>31</v>
      </c>
      <c r="B32" s="3" t="inlineStr">
        <is>
          <t>Enable Filter for VBUS and ID related control inputs from the PHY</t>
        </is>
      </c>
      <c r="C32" s="3" t="inlineStr">
        <is>
          <t>DWC_USB3_EN_BUS_FILTERS</t>
        </is>
      </c>
      <c r="D32" s="3" t="inlineStr">
        <is>
          <t>1</t>
        </is>
      </c>
      <c r="E32" s="12" t="inlineStr">
        <is>
          <t>No (0); Yes (1)</t>
        </is>
      </c>
      <c r="F32" s="3">
        <f> 0</f>
        <v/>
      </c>
      <c r="G32" s="3" t="inlineStr">
        <is>
          <t>DWC_USB3_MODE !=3</t>
        </is>
      </c>
      <c r="H32" s="3" t="inlineStr">
        <is>
          <t>启用UTMI/ULPI信号和PIPE3 PowerControl输入的总线滤波器。每个滤波器在DWC_usb3_filter.v中用5ms计数器实现。若PHY已有滤波去抖则不必启用。</t>
        </is>
      </c>
      <c r="I32" s="12" t="inlineStr">
        <is>
          <t>需确认：启用可滤除 VBUS/IDDIG/PHY 输入毛刺；确认 PHY/板级未重复滤波且 5ms 延迟可接受。</t>
        </is>
      </c>
    </row>
    <row r="33">
      <c r="A33" s="2" t="n">
        <v>32</v>
      </c>
      <c r="B33" s="12" t="inlineStr">
        <is>
          <t>Enable PMU Filter?</t>
        </is>
      </c>
      <c r="C33" s="3" t="inlineStr">
        <is>
          <t>DWC_USB3_EN_PMU_FILTER</t>
        </is>
      </c>
      <c r="D33" s="3" t="inlineStr">
        <is>
          <t>1</t>
        </is>
      </c>
      <c r="E33" s="12" t="inlineStr">
        <is>
          <t>No (0); Yes (1)</t>
        </is>
      </c>
      <c r="F33" s="3">
        <f> 0</f>
        <v/>
      </c>
      <c r="G33" s="3" t="inlineStr">
        <is>
          <t>DWC_USB3_EN_PWROPT ==2</t>
        </is>
      </c>
      <c r="H33" s="3" t="inlineStr">
        <is>
          <t>在PMU模块中启用UTMI和过流相关输入信号的简易滤波器。仅在休眠(DWC_usb3断电)期间使用。</t>
        </is>
      </c>
      <c r="I33" s="12" t="inlineStr">
        <is>
          <t>需确认：休眠期间 PMU 输入滤波已启用；确认 wakeup/over-current 检测允许相应滤波延迟。</t>
        </is>
      </c>
    </row>
    <row r="34">
      <c r="A34" s="2" t="n">
        <v>33</v>
      </c>
      <c r="B34" s="3" t="inlineStr">
        <is>
          <t>PIPE Interface is always 32- bit</t>
        </is>
      </c>
      <c r="C34" s="12" t="inlineStr">
        <is>
          <t>DWC_USB3_PIPE_32BIT_ONLY</t>
        </is>
      </c>
      <c r="D34" s="3" t="inlineStr">
        <is>
          <t>1</t>
        </is>
      </c>
      <c r="E34" s="12" t="inlineStr">
        <is>
          <t>No (0); Yes (1)</t>
        </is>
      </c>
      <c r="F34" s="3" t="inlineStr">
        <is>
          <t>No</t>
        </is>
      </c>
      <c r="G34" s="3" t="inlineStr">
        <is>
          <t>DWC_USB3_MBUS_TYPE!=4 &amp;&amp; DWC_USB3_SSPHY_INTERFACE ==1</t>
        </is>
      </c>
      <c r="H34" s="3" t="inlineStr">
        <is>
          <t>若PIPE接口始终为32位@125MHz，则mac3_clk直接使用pipe3_rx_pclk。避免时钟分频器和多路选择器，简化DFT和时钟插入。启用时需确认GUSB3PIPECTL_INIT的bit[16:15]为2'b00。</t>
        </is>
      </c>
      <c r="I34" s="13" t="inlineStr">
        <is>
          <t>合理：SS PIPE 固定 32-bit 可简化时钟路径；需确认 GUSB3PIPECTL 相关接口宽度字段匹配。</t>
        </is>
      </c>
    </row>
    <row r="35">
      <c r="A35" s="2" t="n">
        <v>34</v>
      </c>
      <c r="B35" s="12" t="inlineStr">
        <is>
          <t>Always Assign ram_clk to bus_clk_early?</t>
        </is>
      </c>
      <c r="C35" s="3" t="inlineStr">
        <is>
          <t>DWC_USB3_RAM_CLK_TO_BUS_CLK</t>
        </is>
      </c>
      <c r="D35" s="3" t="inlineStr">
        <is>
          <t>1</t>
        </is>
      </c>
      <c r="E35" s="12" t="inlineStr">
        <is>
          <t>No (0); Yes (1)</t>
        </is>
      </c>
      <c r="F35" s="3" t="inlineStr">
        <is>
          <t>No</t>
        </is>
      </c>
      <c r="G35" s="3" t="inlineStr">
        <is>
          <t>DWC_USB3_MODE !=3 &amp;&amp; DWC_USB3_MBUS_TYPE!=4</t>
        </is>
      </c>
      <c r="H35" s="3" t="inlineStr">
        <is>
          <t>强制将bus_clk_early连接到ram_clk。通常不建议，因为会丧失低功耗模式下降低bus_clk的灵活性。若ram_clk不满足最小频率要求可能导致功能故障。可简化时钟插入和DFT。</t>
        </is>
      </c>
      <c r="I35" s="12" t="inlineStr">
        <is>
          <t>需确认：强制 bus_clk_early 使用 ram_clk 可简化时钟/DFT，但降低低功耗调频灵活性；ram_clk 必须满足 157 MHz 主机需求。</t>
        </is>
      </c>
    </row>
    <row r="36">
      <c r="A36" s="2" t="n">
        <v>35</v>
      </c>
      <c r="B36" s="12" t="inlineStr">
        <is>
          <t>Enable All Posedge Synchronizers?</t>
        </is>
      </c>
      <c r="C36" s="3" t="inlineStr">
        <is>
          <t>DWC_USB3_EN_SYNC_ALL_POSEDGE</t>
        </is>
      </c>
      <c r="D36" s="3" t="inlineStr">
        <is>
          <t>0</t>
        </is>
      </c>
      <c r="E36" s="12" t="inlineStr">
        <is>
          <t>No (0); Yes (1)</t>
        </is>
      </c>
      <c r="F36" s="3" t="inlineStr">
        <is>
          <t>No</t>
        </is>
      </c>
      <c r="G36" s="3" t="inlineStr">
        <is>
          <t>DWC_USB3_MODE !=3</t>
        </is>
      </c>
      <c r="H36" s="3" t="inlineStr">
        <is>
          <t>使用全正沿时钟同步器替代首级负沿+次级正沿同步器。USB 3.0规范要求的某些负沿同步器仍保留。若FAST_TAT禁用且mac2_clk=30MHz，会提高设备模式最小ram_clk频率至100MHz。</t>
        </is>
      </c>
      <c r="I36" s="13" t="inlineStr">
        <is>
          <t>合理：保持默认同步器结构；若改为全正沿同步需重新评估 FAST_TAT 和 ram_clk 要求。</t>
        </is>
      </c>
    </row>
    <row r="37">
      <c r="A37" s="2" t="n">
        <v>36</v>
      </c>
      <c r="B37" s="12" t="inlineStr">
        <is>
          <t>Remove pipe_clk mux for 2.0 mode?</t>
        </is>
      </c>
      <c r="C37" s="12" t="inlineStr">
        <is>
          <t>DWC_USB3_REMOVE_PIPE_CLK_MUX_FOR_20_MODE</t>
        </is>
      </c>
      <c r="D37" s="3" t="inlineStr">
        <is>
          <t>1</t>
        </is>
      </c>
      <c r="E37" s="12" t="inlineStr">
        <is>
          <t>No (0); Yes (1)</t>
        </is>
      </c>
      <c r="F37" s="3" t="inlineStr">
        <is>
          <t>No</t>
        </is>
      </c>
      <c r="G37" s="3" t="inlineStr">
        <is>
          <t>DWC_USB3_MODE !=3 &amp;&amp; DWC_USB3_MBUS_TYPE!=4</t>
        </is>
      </c>
      <c r="H37" s="3" t="inlineStr">
        <is>
          <t>移除用于USB 2.0 PHY工作的pipe3_clk额外时钟多路选择器。当不使用GUCTL1[DEV_FORCE_20_CLK_FOR_30_CLK]功能或复用器已实现在控制器外部时启用。</t>
        </is>
      </c>
      <c r="I37" s="12" t="inlineStr">
        <is>
          <t>需确认：启用时 2.0 模式所需 PIPE 时钟/信号 mux 必须由控制器外部实现，或确认该功能不被使用。</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DWC_usb3 configuration review against configured RTL</dc:title>
  <dc:subject>Databook and RTL-reviewed USB configuration with reasonableness assessment</dc:subject>
  <dcterms:created xsi:type="dcterms:W3CDTF">2026-07-27T09:42:34Z</dcterms:created>
  <dcterms:modified xsi:type="dcterms:W3CDTF">2026-07-28T02:37:23Z</dcterms:modified>
</cp:coreProperties>
</file>